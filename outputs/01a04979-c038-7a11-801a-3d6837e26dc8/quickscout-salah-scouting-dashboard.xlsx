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02d6c359e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6aaaf1b45ea4a61"/>
    <x:sheet xmlns:r="http://schemas.openxmlformats.org/officeDocument/2006/relationships" name="Ranked Candidates" sheetId="2" r:id="Rfa8505ccfe8e4384"/>
    <x:sheet xmlns:r="http://schemas.openxmlformats.org/officeDocument/2006/relationships" name="Source Data" sheetId="3" r:id="R873ea4af71974f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€#,##0"/>
    <x:numFmt numFmtId="202" formatCode="#,##0"/>
    <x:numFmt numFmtId="203" formatCode="0.0"/>
  </x:numFmts>
  <x:fonts count="11">
    <x:font>
      <x:sz val="11"/>
      <x:name val="Carlito"/>
    </x:font>
    <x:font>
      <x:b/>
      <x:sz val="11"/>
      <x:color rgb="FFFFFFFF"/>
      <x:name val="Carlito"/>
    </x:font>
    <x:font>
      <x:sz val="11"/>
      <x:color rgb="FF334155"/>
      <x:name val="Carlito"/>
    </x:font>
    <x:font>
      <x:sz val="11"/>
      <x:color rgb="FF1E1B4B"/>
      <x:name val="Carlito"/>
    </x:font>
    <x:font>
      <x:b/>
      <x:sz val="11"/>
      <x:color rgb="FF475569"/>
      <x:name val="Carlito"/>
    </x:font>
    <x:font>
      <x:b/>
      <x:sz val="11"/>
      <x:color rgb="FF1E1B4B"/>
      <x:name val="Carlito"/>
    </x:font>
    <x:font>
      <x:b/>
      <x:sz val="11"/>
      <x:color rgb="FF4338CA"/>
      <x:name val="Carlito"/>
    </x:font>
    <x:font>
      <x:b/>
      <x:sz val="11"/>
      <x:color rgb="FF047857"/>
      <x:name val="Carlito"/>
    </x:font>
    <x:font>
      <x:b/>
      <x:sz val="11"/>
      <x:color rgb="FF0F172A"/>
      <x:name val="Carlito"/>
    </x:font>
    <x:font>
      <x:sz val="11"/>
      <x:color rgb="FF92400E"/>
      <x:name val="Carlito"/>
    </x:font>
    <x:font>
      <x:sz val="11"/>
      <x:color rgb="FF475569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E1B4B"/>
      </x:patternFill>
    </x:fill>
    <x:fill>
      <x:patternFill patternType="solid">
        <x:fgColor rgb="FFEEF2FF"/>
      </x:patternFill>
    </x:fill>
    <x:fill>
      <x:patternFill patternType="solid">
        <x:fgColor rgb="FF4338CA"/>
      </x:patternFill>
    </x:fill>
    <x:fill>
      <x:patternFill patternType="solid">
        <x:fgColor rgb="FFF1F5F9"/>
      </x:patternFill>
    </x:fill>
    <x:fill>
      <x:patternFill patternType="solid">
        <x:fgColor rgb="FF0F172A"/>
      </x:patternFill>
    </x:fill>
    <x:fill>
      <x:patternFill patternType="solid">
        <x:fgColor rgb="FFFFFFFF"/>
      </x:patternFill>
    </x:fill>
    <x:fill>
      <x:patternFill patternType="solid">
        <x:fgColor rgb="FFE0E7FF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</x:fills>
  <x:borders count="21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top style="thin">
        <x:color rgb="FFE2E8F0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  <x:border>
      <x:left style="thin">
        <x:color rgb="FFE0E7FF"/>
      </x:left>
      <x:top style="thin">
        <x:color rgb="FFE0E7FF"/>
      </x:top>
    </x:border>
    <x:border>
      <x:top style="thin">
        <x:color rgb="FFE0E7FF"/>
      </x:top>
    </x:border>
    <x:border>
      <x:right style="thin">
        <x:color rgb="FFE0E7FF"/>
      </x:right>
      <x:top style="thin">
        <x:color rgb="FFE0E7FF"/>
      </x:top>
    </x:border>
    <x:border>
      <x:left style="thin">
        <x:color rgb="FFE0E7FF"/>
      </x:left>
    </x:border>
    <x:border>
      <x:right style="thin">
        <x:color rgb="FFE0E7FF"/>
      </x:right>
    </x:border>
    <x:border>
      <x:left style="thin">
        <x:color rgb="FFE0E7FF"/>
      </x:left>
      <x:bottom style="thin">
        <x:color rgb="FFE0E7FF"/>
      </x:bottom>
    </x:border>
    <x:border>
      <x:bottom style="thin">
        <x:color rgb="FFE0E7FF"/>
      </x:bottom>
    </x:border>
    <x:border>
      <x:right style="thin">
        <x:color rgb="FFE0E7FF"/>
      </x:right>
      <x:bottom style="thin">
        <x:color rgb="FFE0E7FF"/>
      </x:bottom>
    </x:border>
  </x:borders>
  <x:cellStyleXfs count="1">
    <x:xf numFmtId="0" fontId="0" fillId="0" borderId="0"/>
  </x:cellStyleXfs>
  <x:cellXfs count="2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0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200" fontId="0" fillId="0" borderId="3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203" fontId="0" fillId="0" borderId="3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203" fontId="0" fillId="0" borderId="4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5" xfId="0" applyNumberFormat="1" applyFont="1" applyFill="1" applyBorder="1" applyAlignment="1">
      <x:alignment horizontal="center"/>
    </x:xf>
    <x:xf numFmtId="0" fontId="1" fillId="6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203" fontId="0" fillId="0" borderId="8" xfId="0" applyNumberFormat="1" applyFont="1" applyFill="1" applyBorder="1"/>
    <x:xf numFmtId="0" fontId="0" fillId="0" borderId="9" xfId="0" applyNumberFormat="1" applyFont="1" applyFill="1" applyBorder="1"/>
    <x:xf numFmtId="203" fontId="0" fillId="0" borderId="1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5" xfId="0" applyNumberFormat="1" applyFont="1" applyFill="1" applyBorder="1"/>
    <x:xf numFmtId="0" fontId="4" fillId="7" borderId="11" xfId="0" applyNumberFormat="1" applyFont="1" applyFill="1" applyBorder="1"/>
    <x:xf numFmtId="0" fontId="0" fillId="7" borderId="11" xfId="0" applyNumberFormat="1" applyFont="1" applyFill="1" applyBorder="1"/>
    <x:xf numFmtId="0" fontId="0" fillId="7" borderId="6" xfId="0" applyNumberFormat="1" applyFont="1" applyFill="1" applyBorder="1"/>
    <x:xf numFmtId="0" fontId="4" fillId="7" borderId="7" xfId="0" applyNumberFormat="1" applyFont="1" applyFill="1" applyBorder="1"/>
    <x:xf numFmtId="0" fontId="0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12" xfId="0" applyNumberFormat="1" applyFont="1" applyFill="1" applyBorder="1"/>
    <x:xf numFmtId="0" fontId="0" fillId="7" borderId="12" xfId="0" applyNumberFormat="1" applyFont="1" applyFill="1" applyBorder="1"/>
    <x:xf numFmtId="0" fontId="0" fillId="7" borderId="10" xfId="0" applyNumberFormat="1" applyFont="1" applyFill="1" applyBorder="1"/>
    <x:xf numFmtId="201" fontId="0" fillId="7" borderId="0" xfId="0" applyNumberFormat="1" applyFont="1" applyFill="1" applyBorder="1"/>
    <x:xf numFmtId="202" fontId="0" fillId="7" borderId="0" xfId="0" applyNumberFormat="1" applyFont="1" applyFill="1" applyBorder="1"/>
    <x:xf numFmtId="202" fontId="0" fillId="7" borderId="12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5" xfId="0" applyNumberFormat="1" applyFont="1" applyFill="1" applyBorder="1"/>
    <x:xf numFmtId="0" fontId="5" fillId="8" borderId="11" xfId="0" applyNumberFormat="1" applyFont="1" applyFill="1" applyBorder="1"/>
    <x:xf numFmtId="0" fontId="5" fillId="8" borderId="6" xfId="0" applyNumberFormat="1" applyFont="1" applyFill="1" applyBorder="1"/>
    <x:xf numFmtId="0" fontId="5" fillId="8" borderId="7" xfId="0" applyNumberFormat="1" applyFont="1" applyFill="1" applyBorder="1"/>
    <x:xf numFmtId="0" fontId="5" fillId="8" borderId="8" xfId="0" applyNumberFormat="1" applyFont="1" applyFill="1" applyBorder="1"/>
    <x:xf numFmtId="0" fontId="5" fillId="8" borderId="9" xfId="0" applyNumberFormat="1" applyFont="1" applyFill="1" applyBorder="1"/>
    <x:xf numFmtId="0" fontId="5" fillId="8" borderId="12" xfId="0" applyNumberFormat="1" applyFont="1" applyFill="1" applyBorder="1"/>
    <x:xf numFmtId="0" fontId="5" fillId="8" borderId="10" xfId="0" applyNumberFormat="1" applyFont="1" applyFill="1" applyBorder="1"/>
    <x:xf numFmtId="0" fontId="5" fillId="8" borderId="5" xfId="0" applyNumberFormat="1" applyFont="1" applyFill="1" applyBorder="1" applyAlignment="1">
      <x:alignment horizontal="center"/>
    </x:xf>
    <x:xf numFmtId="0" fontId="5" fillId="8" borderId="11" xfId="0" applyNumberFormat="1" applyFont="1" applyFill="1" applyBorder="1" applyAlignment="1">
      <x:alignment horizontal="center"/>
    </x:xf>
    <x:xf numFmtId="0" fontId="5" fillId="8" borderId="6" xfId="0" applyNumberFormat="1" applyFont="1" applyFill="1" applyBorder="1" applyAlignment="1">
      <x:alignment horizontal="center"/>
    </x:xf>
    <x:xf numFmtId="0" fontId="5" fillId="8" borderId="7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/>
    </x:xf>
    <x:xf numFmtId="0" fontId="5" fillId="8" borderId="8" xfId="0" applyNumberFormat="1" applyFont="1" applyFill="1" applyBorder="1" applyAlignment="1">
      <x:alignment horizontal="center"/>
    </x:xf>
    <x:xf numFmtId="0" fontId="5" fillId="8" borderId="9" xfId="0" applyNumberFormat="1" applyFont="1" applyFill="1" applyBorder="1" applyAlignment="1">
      <x:alignment horizontal="center"/>
    </x:xf>
    <x:xf numFmtId="0" fontId="5" fillId="8" borderId="12" xfId="0" applyNumberFormat="1" applyFont="1" applyFill="1" applyBorder="1" applyAlignment="1">
      <x:alignment horizontal="center"/>
    </x:xf>
    <x:xf numFmtId="0" fontId="5" fillId="8" borderId="10" xfId="0" applyNumberFormat="1" applyFont="1" applyFill="1" applyBorder="1" applyAlignment="1">
      <x:alignment horizontal="center"/>
    </x:xf>
    <x:xf numFmtId="0" fontId="5" fillId="8" borderId="5" xfId="0" applyNumberFormat="1" applyFont="1" applyFill="1" applyBorder="1" applyAlignment="1">
      <x:alignment horizontal="center" vertical="center"/>
    </x:xf>
    <x:xf numFmtId="0" fontId="5" fillId="8" borderId="11" xfId="0" applyNumberFormat="1" applyFont="1" applyFill="1" applyBorder="1" applyAlignment="1">
      <x:alignment horizontal="center" vertical="center"/>
    </x:xf>
    <x:xf numFmtId="0" fontId="5" fillId="8" borderId="6" xfId="0" applyNumberFormat="1" applyFont="1" applyFill="1" applyBorder="1" applyAlignment="1">
      <x:alignment horizontal="center" vertical="center"/>
    </x:xf>
    <x:xf numFmtId="0" fontId="5" fillId="8" borderId="7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5" fillId="8" borderId="8" xfId="0" applyNumberFormat="1" applyFont="1" applyFill="1" applyBorder="1" applyAlignment="1">
      <x:alignment horizontal="center" vertical="center"/>
    </x:xf>
    <x:xf numFmtId="0" fontId="5" fillId="8" borderId="9" xfId="0" applyNumberFormat="1" applyFont="1" applyFill="1" applyBorder="1" applyAlignment="1">
      <x:alignment horizontal="center" vertical="center"/>
    </x:xf>
    <x:xf numFmtId="0" fontId="5" fillId="8" borderId="12" xfId="0" applyNumberFormat="1" applyFont="1" applyFill="1" applyBorder="1" applyAlignment="1">
      <x:alignment horizontal="center" vertical="center"/>
    </x:xf>
    <x:xf numFmtId="0" fontId="5" fillId="8" borderId="1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5" xfId="0" applyNumberFormat="1" applyFont="1" applyFill="1" applyBorder="1"/>
    <x:xf numFmtId="0" fontId="6" fillId="3" borderId="11" xfId="0" applyNumberFormat="1" applyFont="1" applyFill="1" applyBorder="1"/>
    <x:xf numFmtId="0" fontId="6" fillId="3" borderId="6" xfId="0" applyNumberFormat="1" applyFont="1" applyFill="1" applyBorder="1"/>
    <x:xf numFmtId="0" fontId="6" fillId="3" borderId="7" xfId="0" applyNumberFormat="1" applyFont="1" applyFill="1" applyBorder="1"/>
    <x:xf numFmtId="0" fontId="6" fillId="3" borderId="8" xfId="0" applyNumberFormat="1" applyFont="1" applyFill="1" applyBorder="1"/>
    <x:xf numFmtId="0" fontId="6" fillId="3" borderId="9" xfId="0" applyNumberFormat="1" applyFont="1" applyFill="1" applyBorder="1"/>
    <x:xf numFmtId="0" fontId="6" fillId="3" borderId="12" xfId="0" applyNumberFormat="1" applyFont="1" applyFill="1" applyBorder="1"/>
    <x:xf numFmtId="0" fontId="6" fillId="3" borderId="10" xfId="0" applyNumberFormat="1" applyFont="1" applyFill="1" applyBorder="1"/>
    <x:xf numFmtId="0" fontId="6" fillId="3" borderId="5" xfId="0" applyNumberFormat="1" applyFont="1" applyFill="1" applyBorder="1" applyAlignment="1">
      <x:alignment horizontal="center"/>
    </x:xf>
    <x:xf numFmtId="0" fontId="6" fillId="3" borderId="11" xfId="0" applyNumberFormat="1" applyFont="1" applyFill="1" applyBorder="1" applyAlignment="1">
      <x:alignment horizontal="center"/>
    </x:xf>
    <x:xf numFmtId="0" fontId="6" fillId="3" borderId="6" xfId="0" applyNumberFormat="1" applyFont="1" applyFill="1" applyBorder="1" applyAlignment="1">
      <x:alignment horizontal="center"/>
    </x:xf>
    <x:xf numFmtId="0" fontId="6" fillId="3" borderId="7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/>
    </x:xf>
    <x:xf numFmtId="0" fontId="6" fillId="3" borderId="8" xfId="0" applyNumberFormat="1" applyFont="1" applyFill="1" applyBorder="1" applyAlignment="1">
      <x:alignment horizontal="center"/>
    </x:xf>
    <x:xf numFmtId="0" fontId="6" fillId="3" borderId="9" xfId="0" applyNumberFormat="1" applyFont="1" applyFill="1" applyBorder="1" applyAlignment="1">
      <x:alignment horizontal="center"/>
    </x:xf>
    <x:xf numFmtId="0" fontId="6" fillId="3" borderId="12" xfId="0" applyNumberFormat="1" applyFont="1" applyFill="1" applyBorder="1" applyAlignment="1">
      <x:alignment horizontal="center"/>
    </x:xf>
    <x:xf numFmtId="0" fontId="6" fillId="3" borderId="10" xfId="0" applyNumberFormat="1" applyFont="1" applyFill="1" applyBorder="1" applyAlignment="1">
      <x:alignment horizontal="center"/>
    </x:xf>
    <x:xf numFmtId="0" fontId="6" fillId="3" borderId="5" xfId="0" applyNumberFormat="1" applyFont="1" applyFill="1" applyBorder="1" applyAlignment="1">
      <x:alignment horizontal="center" vertical="center"/>
    </x:xf>
    <x:xf numFmtId="0" fontId="6" fillId="3" borderId="11" xfId="0" applyNumberFormat="1" applyFont="1" applyFill="1" applyBorder="1" applyAlignment="1">
      <x:alignment horizontal="center" vertical="center"/>
    </x:xf>
    <x:xf numFmtId="0" fontId="6" fillId="3" borderId="6" xfId="0" applyNumberFormat="1" applyFont="1" applyFill="1" applyBorder="1" applyAlignment="1">
      <x:alignment horizontal="center" vertical="center"/>
    </x:xf>
    <x:xf numFmtId="0" fontId="6" fillId="3" borderId="7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8" xfId="0" applyNumberFormat="1" applyFont="1" applyFill="1" applyBorder="1" applyAlignment="1">
      <x:alignment horizontal="center" vertical="center"/>
    </x:xf>
    <x:xf numFmtId="0" fontId="6" fillId="3" borderId="9" xfId="0" applyNumberFormat="1" applyFont="1" applyFill="1" applyBorder="1" applyAlignment="1">
      <x:alignment horizontal="center" vertical="center"/>
    </x:xf>
    <x:xf numFmtId="0" fontId="6" fillId="3" borderId="12" xfId="0" applyNumberFormat="1" applyFont="1" applyFill="1" applyBorder="1" applyAlignment="1">
      <x:alignment horizontal="center" vertical="center"/>
    </x:xf>
    <x:xf numFmtId="0" fontId="6" fillId="3" borderId="1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5" xfId="0" applyNumberFormat="1" applyFont="1" applyFill="1" applyBorder="1"/>
    <x:xf numFmtId="0" fontId="7" fillId="9" borderId="11" xfId="0" applyNumberFormat="1" applyFont="1" applyFill="1" applyBorder="1"/>
    <x:xf numFmtId="0" fontId="7" fillId="9" borderId="6" xfId="0" applyNumberFormat="1" applyFont="1" applyFill="1" applyBorder="1"/>
    <x:xf numFmtId="0" fontId="7" fillId="9" borderId="7" xfId="0" applyNumberFormat="1" applyFont="1" applyFill="1" applyBorder="1"/>
    <x:xf numFmtId="0" fontId="7" fillId="9" borderId="8" xfId="0" applyNumberFormat="1" applyFont="1" applyFill="1" applyBorder="1"/>
    <x:xf numFmtId="0" fontId="7" fillId="9" borderId="9" xfId="0" applyNumberFormat="1" applyFont="1" applyFill="1" applyBorder="1"/>
    <x:xf numFmtId="0" fontId="7" fillId="9" borderId="12" xfId="0" applyNumberFormat="1" applyFont="1" applyFill="1" applyBorder="1"/>
    <x:xf numFmtId="0" fontId="7" fillId="9" borderId="10" xfId="0" applyNumberFormat="1" applyFont="1" applyFill="1" applyBorder="1"/>
    <x:xf numFmtId="0" fontId="7" fillId="9" borderId="5" xfId="0" applyNumberFormat="1" applyFont="1" applyFill="1" applyBorder="1" applyAlignment="1">
      <x:alignment horizontal="center"/>
    </x:xf>
    <x:xf numFmtId="0" fontId="7" fillId="9" borderId="11" xfId="0" applyNumberFormat="1" applyFont="1" applyFill="1" applyBorder="1" applyAlignment="1">
      <x:alignment horizontal="center"/>
    </x:xf>
    <x:xf numFmtId="0" fontId="7" fillId="9" borderId="6" xfId="0" applyNumberFormat="1" applyFont="1" applyFill="1" applyBorder="1" applyAlignment="1">
      <x:alignment horizontal="center"/>
    </x:xf>
    <x:xf numFmtId="0" fontId="7" fillId="9" borderId="7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/>
    </x:xf>
    <x:xf numFmtId="0" fontId="7" fillId="9" borderId="8" xfId="0" applyNumberFormat="1" applyFont="1" applyFill="1" applyBorder="1" applyAlignment="1">
      <x:alignment horizontal="center"/>
    </x:xf>
    <x:xf numFmtId="0" fontId="7" fillId="9" borderId="9" xfId="0" applyNumberFormat="1" applyFont="1" applyFill="1" applyBorder="1" applyAlignment="1">
      <x:alignment horizontal="center"/>
    </x:xf>
    <x:xf numFmtId="0" fontId="7" fillId="9" borderId="12" xfId="0" applyNumberFormat="1" applyFont="1" applyFill="1" applyBorder="1" applyAlignment="1">
      <x:alignment horizontal="center"/>
    </x:xf>
    <x:xf numFmtId="0" fontId="7" fillId="9" borderId="10" xfId="0" applyNumberFormat="1" applyFont="1" applyFill="1" applyBorder="1" applyAlignment="1">
      <x:alignment horizontal="center"/>
    </x:xf>
    <x:xf numFmtId="0" fontId="7" fillId="9" borderId="5" xfId="0" applyNumberFormat="1" applyFont="1" applyFill="1" applyBorder="1" applyAlignment="1">
      <x:alignment horizontal="center" vertical="center"/>
    </x:xf>
    <x:xf numFmtId="0" fontId="7" fillId="9" borderId="11" xfId="0" applyNumberFormat="1" applyFont="1" applyFill="1" applyBorder="1" applyAlignment="1">
      <x:alignment horizontal="center" vertical="center"/>
    </x:xf>
    <x:xf numFmtId="0" fontId="7" fillId="9" borderId="6" xfId="0" applyNumberFormat="1" applyFont="1" applyFill="1" applyBorder="1" applyAlignment="1">
      <x:alignment horizontal="center" vertical="center"/>
    </x:xf>
    <x:xf numFmtId="0" fontId="7" fillId="9" borderId="7" xfId="0" applyNumberFormat="1" applyFont="1" applyFill="1" applyBorder="1" applyAlignment="1">
      <x:alignment horizontal="center" vertic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7" fillId="9" borderId="8" xfId="0" applyNumberFormat="1" applyFont="1" applyFill="1" applyBorder="1" applyAlignment="1">
      <x:alignment horizontal="center" vertical="center"/>
    </x:xf>
    <x:xf numFmtId="0" fontId="7" fillId="9" borderId="9" xfId="0" applyNumberFormat="1" applyFont="1" applyFill="1" applyBorder="1" applyAlignment="1">
      <x:alignment horizontal="center" vertical="center"/>
    </x:xf>
    <x:xf numFmtId="0" fontId="7" fillId="9" borderId="12" xfId="0" applyNumberFormat="1" applyFont="1" applyFill="1" applyBorder="1" applyAlignment="1">
      <x:alignment horizontal="center" vertical="center"/>
    </x:xf>
    <x:xf numFmtId="0" fontId="7" fillId="9" borderId="1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5" xfId="0" applyNumberFormat="1" applyFont="1" applyFill="1" applyBorder="1"/>
    <x:xf numFmtId="0" fontId="8" fillId="5" borderId="11" xfId="0" applyNumberFormat="1" applyFont="1" applyFill="1" applyBorder="1"/>
    <x:xf numFmtId="0" fontId="8" fillId="5" borderId="6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0" fontId="8" fillId="5" borderId="9" xfId="0" applyNumberFormat="1" applyFont="1" applyFill="1" applyBorder="1"/>
    <x:xf numFmtId="0" fontId="8" fillId="5" borderId="12" xfId="0" applyNumberFormat="1" applyFont="1" applyFill="1" applyBorder="1"/>
    <x:xf numFmtId="0" fontId="8" fillId="5" borderId="10" xfId="0" applyNumberFormat="1" applyFont="1" applyFill="1" applyBorder="1"/>
    <x:xf numFmtId="0" fontId="8" fillId="5" borderId="5" xfId="0" applyNumberFormat="1" applyFont="1" applyFill="1" applyBorder="1" applyAlignment="1">
      <x:alignment horizontal="center"/>
    </x:xf>
    <x:xf numFmtId="0" fontId="8" fillId="5" borderId="11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/>
    </x:xf>
    <x:xf numFmtId="0" fontId="8" fillId="5" borderId="7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/>
    </x:xf>
    <x:xf numFmtId="0" fontId="8" fillId="5" borderId="8" xfId="0" applyNumberFormat="1" applyFont="1" applyFill="1" applyBorder="1" applyAlignment="1">
      <x:alignment horizontal="center"/>
    </x:xf>
    <x:xf numFmtId="0" fontId="8" fillId="5" borderId="9" xfId="0" applyNumberFormat="1" applyFont="1" applyFill="1" applyBorder="1" applyAlignment="1">
      <x:alignment horizontal="center"/>
    </x:xf>
    <x:xf numFmtId="0" fontId="8" fillId="5" borderId="12" xfId="0" applyNumberFormat="1" applyFont="1" applyFill="1" applyBorder="1" applyAlignment="1">
      <x:alignment horizontal="center"/>
    </x:xf>
    <x:xf numFmtId="0" fontId="8" fillId="5" borderId="10" xfId="0" applyNumberFormat="1" applyFont="1" applyFill="1" applyBorder="1" applyAlignment="1">
      <x:alignment horizontal="center"/>
    </x:xf>
    <x:xf numFmtId="0" fontId="8" fillId="5" borderId="5" xfId="0" applyNumberFormat="1" applyFont="1" applyFill="1" applyBorder="1" applyAlignment="1">
      <x:alignment horizontal="center" vertical="center"/>
    </x:xf>
    <x:xf numFmtId="0" fontId="8" fillId="5" borderId="11" xfId="0" applyNumberFormat="1" applyFont="1" applyFill="1" applyBorder="1" applyAlignment="1">
      <x:alignment horizontal="center" vertic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8" fillId="5" borderId="7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5" borderId="8" xfId="0" applyNumberFormat="1" applyFont="1" applyFill="1" applyBorder="1" applyAlignment="1">
      <x:alignment horizontal="center" vertical="center"/>
    </x:xf>
    <x:xf numFmtId="0" fontId="8" fillId="5" borderId="9" xfId="0" applyNumberFormat="1" applyFont="1" applyFill="1" applyBorder="1" applyAlignment="1">
      <x:alignment horizontal="center" vertical="center"/>
    </x:xf>
    <x:xf numFmtId="0" fontId="8" fillId="5" borderId="12" xfId="0" applyNumberFormat="1" applyFont="1" applyFill="1" applyBorder="1" applyAlignment="1">
      <x:alignment horizontal="center" vertical="center"/>
    </x:xf>
    <x:xf numFmtId="0" fontId="8" fillId="5" borderId="10" xfId="0" applyNumberFormat="1" applyFont="1" applyFill="1" applyBorder="1" applyAlignment="1">
      <x:alignment horizontal="center" vertical="center"/>
    </x:xf>
    <x:xf numFmtId="203" fontId="6" fillId="3" borderId="7" xfId="0" applyNumberFormat="1" applyFont="1" applyFill="1" applyBorder="1" applyAlignment="1">
      <x:alignment horizontal="center" vertical="center"/>
    </x:xf>
    <x:xf numFmtId="203" fontId="6" fillId="3" borderId="0" xfId="0" applyNumberFormat="1" applyFont="1" applyFill="1" applyBorder="1" applyAlignment="1">
      <x:alignment horizontal="center" vertical="center"/>
    </x:xf>
    <x:xf numFmtId="203" fontId="6" fillId="3" borderId="8" xfId="0" applyNumberFormat="1" applyFont="1" applyFill="1" applyBorder="1" applyAlignment="1">
      <x:alignment horizontal="center" vertical="center"/>
    </x:xf>
    <x:xf numFmtId="203" fontId="6" fillId="3" borderId="9" xfId="0" applyNumberFormat="1" applyFont="1" applyFill="1" applyBorder="1" applyAlignment="1">
      <x:alignment horizontal="center" vertical="center"/>
    </x:xf>
    <x:xf numFmtId="203" fontId="6" fillId="3" borderId="12" xfId="0" applyNumberFormat="1" applyFont="1" applyFill="1" applyBorder="1" applyAlignment="1">
      <x:alignment horizontal="center" vertical="center"/>
    </x:xf>
    <x:xf numFmtId="203" fontId="6" fillId="3" borderId="10" xfId="0" applyNumberFormat="1" applyFont="1" applyFill="1" applyBorder="1" applyAlignment="1">
      <x:alignment horizontal="center" vertical="center"/>
    </x:xf>
    <x:xf numFmtId="200" fontId="7" fillId="9" borderId="7" xfId="0" applyNumberFormat="1" applyFont="1" applyFill="1" applyBorder="1" applyAlignment="1">
      <x:alignment horizontal="center" vertical="center"/>
    </x:xf>
    <x:xf numFmtId="200" fontId="7" fillId="9" borderId="0" xfId="0" applyNumberFormat="1" applyFont="1" applyFill="1" applyBorder="1" applyAlignment="1">
      <x:alignment horizontal="center" vertical="center"/>
    </x:xf>
    <x:xf numFmtId="200" fontId="7" fillId="9" borderId="8" xfId="0" applyNumberFormat="1" applyFont="1" applyFill="1" applyBorder="1" applyAlignment="1">
      <x:alignment horizontal="center" vertical="center"/>
    </x:xf>
    <x:xf numFmtId="200" fontId="7" fillId="9" borderId="9" xfId="0" applyNumberFormat="1" applyFont="1" applyFill="1" applyBorder="1" applyAlignment="1">
      <x:alignment horizontal="center" vertical="center"/>
    </x:xf>
    <x:xf numFmtId="200" fontId="7" fillId="9" borderId="12" xfId="0" applyNumberFormat="1" applyFont="1" applyFill="1" applyBorder="1" applyAlignment="1">
      <x:alignment horizontal="center" vertical="center"/>
    </x:xf>
    <x:xf numFmtId="200" fontId="7" fillId="9" borderId="10" xfId="0" applyNumberFormat="1" applyFont="1" applyFill="1" applyBorder="1" applyAlignment="1">
      <x:alignment horizontal="center" vertical="center"/>
    </x:xf>
    <x:xf numFmtId="201" fontId="8" fillId="5" borderId="7" xfId="0" applyNumberFormat="1" applyFont="1" applyFill="1" applyBorder="1" applyAlignment="1">
      <x:alignment horizontal="center" vertical="center"/>
    </x:xf>
    <x:xf numFmtId="201" fontId="8" fillId="5" borderId="0" xfId="0" applyNumberFormat="1" applyFont="1" applyFill="1" applyBorder="1" applyAlignment="1">
      <x:alignment horizontal="center" vertical="center"/>
    </x:xf>
    <x:xf numFmtId="201" fontId="8" fillId="5" borderId="8" xfId="0" applyNumberFormat="1" applyFont="1" applyFill="1" applyBorder="1" applyAlignment="1">
      <x:alignment horizontal="center" vertical="center"/>
    </x:xf>
    <x:xf numFmtId="201" fontId="8" fillId="5" borderId="9" xfId="0" applyNumberFormat="1" applyFont="1" applyFill="1" applyBorder="1" applyAlignment="1">
      <x:alignment horizontal="center" vertical="center"/>
    </x:xf>
    <x:xf numFmtId="201" fontId="8" fillId="5" borderId="12" xfId="0" applyNumberFormat="1" applyFont="1" applyFill="1" applyBorder="1" applyAlignment="1">
      <x:alignment horizontal="center" vertical="center"/>
    </x:xf>
    <x:xf numFmtId="201" fontId="8" fillId="5" borderId="10" xfId="0" applyNumberFormat="1" applyFont="1" applyFill="1" applyBorder="1" applyAlignment="1">
      <x:alignment horizontal="center" vertical="center"/>
    </x:xf>
    <x:xf numFmtId="0" fontId="3" fillId="3" borderId="13" xfId="0" applyNumberFormat="1" applyFont="1" applyFill="1" applyBorder="1"/>
    <x:xf numFmtId="0" fontId="3" fillId="3" borderId="14" xfId="0" applyNumberFormat="1" applyFont="1" applyFill="1" applyBorder="1"/>
    <x:xf numFmtId="0" fontId="3" fillId="3" borderId="15" xfId="0" applyNumberFormat="1" applyFont="1" applyFill="1" applyBorder="1"/>
    <x:xf numFmtId="0" fontId="3" fillId="3" borderId="16" xfId="0" applyNumberFormat="1" applyFont="1" applyFill="1" applyBorder="1"/>
    <x:xf numFmtId="0" fontId="3" fillId="3" borderId="17" xfId="0" applyNumberFormat="1" applyFont="1" applyFill="1" applyBorder="1"/>
    <x:xf numFmtId="0" fontId="3" fillId="3" borderId="18" xfId="0" applyNumberFormat="1" applyFont="1" applyFill="1" applyBorder="1"/>
    <x:xf numFmtId="0" fontId="3" fillId="3" borderId="19" xfId="0" applyNumberFormat="1" applyFont="1" applyFill="1" applyBorder="1"/>
    <x:xf numFmtId="0" fontId="3" fillId="3" borderId="20" xfId="0" applyNumberFormat="1" applyFont="1" applyFill="1" applyBorder="1"/>
    <x:xf numFmtId="0" fontId="3" fillId="3" borderId="13" xfId="0" applyNumberFormat="1" applyFont="1" applyFill="1" applyBorder="1" applyAlignment="1">
      <x:alignment wrapText="1"/>
    </x:xf>
    <x:xf numFmtId="0" fontId="3" fillId="3" borderId="14" xfId="0" applyNumberFormat="1" applyFont="1" applyFill="1" applyBorder="1" applyAlignment="1">
      <x:alignment wrapText="1"/>
    </x:xf>
    <x:xf numFmtId="0" fontId="3" fillId="3" borderId="15" xfId="0" applyNumberFormat="1" applyFont="1" applyFill="1" applyBorder="1" applyAlignment="1">
      <x:alignment wrapText="1"/>
    </x:xf>
    <x:xf numFmtId="0" fontId="3" fillId="3" borderId="16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7" xfId="0" applyNumberFormat="1" applyFont="1" applyFill="1" applyBorder="1" applyAlignment="1">
      <x:alignment wrapText="1"/>
    </x:xf>
    <x:xf numFmtId="0" fontId="3" fillId="3" borderId="18" xfId="0" applyNumberFormat="1" applyFont="1" applyFill="1" applyBorder="1" applyAlignment="1">
      <x:alignment wrapText="1"/>
    </x:xf>
    <x:xf numFmtId="0" fontId="3" fillId="3" borderId="19" xfId="0" applyNumberFormat="1" applyFont="1" applyFill="1" applyBorder="1" applyAlignment="1">
      <x:alignment wrapText="1"/>
    </x:xf>
    <x:xf numFmtId="0" fontId="3" fillId="3" borderId="20" xfId="0" applyNumberFormat="1" applyFont="1" applyFill="1" applyBorder="1" applyAlignment="1">
      <x:alignment wrapText="1"/>
    </x:xf>
    <x:xf numFmtId="0" fontId="3" fillId="3" borderId="13" xfId="0" applyNumberFormat="1" applyFont="1" applyFill="1" applyBorder="1" applyAlignment="1">
      <x:alignment vertical="center" wrapText="1"/>
    </x:xf>
    <x:xf numFmtId="0" fontId="3" fillId="3" borderId="14" xfId="0" applyNumberFormat="1" applyFont="1" applyFill="1" applyBorder="1" applyAlignment="1">
      <x:alignment vertical="center" wrapText="1"/>
    </x:xf>
    <x:xf numFmtId="0" fontId="3" fillId="3" borderId="15" xfId="0" applyNumberFormat="1" applyFont="1" applyFill="1" applyBorder="1" applyAlignment="1">
      <x:alignment vertical="center" wrapText="1"/>
    </x:xf>
    <x:xf numFmtId="0" fontId="3" fillId="3" borderId="16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7" xfId="0" applyNumberFormat="1" applyFont="1" applyFill="1" applyBorder="1" applyAlignment="1">
      <x:alignment vertical="center" wrapText="1"/>
    </x:xf>
    <x:xf numFmtId="0" fontId="3" fillId="3" borderId="18" xfId="0" applyNumberFormat="1" applyFont="1" applyFill="1" applyBorder="1" applyAlignment="1">
      <x:alignment vertical="center" wrapText="1"/>
    </x:xf>
    <x:xf numFmtId="0" fontId="3" fillId="3" borderId="19" xfId="0" applyNumberFormat="1" applyFont="1" applyFill="1" applyBorder="1" applyAlignment="1">
      <x:alignment vertical="center" wrapText="1"/>
    </x:xf>
    <x:xf numFmtId="0" fontId="3" fillId="3" borderId="20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1" fillId="4" borderId="13" xfId="0" applyNumberFormat="1" applyFont="1" applyFill="1" applyBorder="1" applyAlignment="1">
      <x:alignment vertical="center" wrapText="1"/>
    </x:xf>
    <x:xf numFmtId="0" fontId="1" fillId="4" borderId="14" xfId="0" applyNumberFormat="1" applyFont="1" applyFill="1" applyBorder="1" applyAlignment="1">
      <x:alignment vertical="center" wrapText="1"/>
    </x:xf>
    <x:xf numFmtId="0" fontId="1" fillId="4" borderId="15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5" xfId="0" applyNumberFormat="1" applyFont="1" applyFill="1" applyBorder="1"/>
    <x:xf numFmtId="0" fontId="9" fillId="10" borderId="11" xfId="0" applyNumberFormat="1" applyFont="1" applyFill="1" applyBorder="1"/>
    <x:xf numFmtId="0" fontId="9" fillId="10" borderId="6" xfId="0" applyNumberFormat="1" applyFont="1" applyFill="1" applyBorder="1"/>
    <x:xf numFmtId="0" fontId="9" fillId="10" borderId="7" xfId="0" applyNumberFormat="1" applyFont="1" applyFill="1" applyBorder="1"/>
    <x:xf numFmtId="0" fontId="9" fillId="10" borderId="8" xfId="0" applyNumberFormat="1" applyFont="1" applyFill="1" applyBorder="1"/>
    <x:xf numFmtId="0" fontId="9" fillId="10" borderId="9" xfId="0" applyNumberFormat="1" applyFont="1" applyFill="1" applyBorder="1"/>
    <x:xf numFmtId="0" fontId="9" fillId="10" borderId="12" xfId="0" applyNumberFormat="1" applyFont="1" applyFill="1" applyBorder="1"/>
    <x:xf numFmtId="0" fontId="9" fillId="10" borderId="10" xfId="0" applyNumberFormat="1" applyFont="1" applyFill="1" applyBorder="1"/>
    <x:xf numFmtId="0" fontId="9" fillId="10" borderId="5" xfId="0" applyNumberFormat="1" applyFont="1" applyFill="1" applyBorder="1" applyAlignment="1">
      <x:alignment wrapText="1"/>
    </x:xf>
    <x:xf numFmtId="0" fontId="9" fillId="10" borderId="11" xfId="0" applyNumberFormat="1" applyFont="1" applyFill="1" applyBorder="1" applyAlignment="1">
      <x:alignment wrapText="1"/>
    </x:xf>
    <x:xf numFmtId="0" fontId="9" fillId="10" borderId="6" xfId="0" applyNumberFormat="1" applyFont="1" applyFill="1" applyBorder="1" applyAlignment="1">
      <x:alignment wrapText="1"/>
    </x:xf>
    <x:xf numFmtId="0" fontId="9" fillId="10" borderId="7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wrapText="1"/>
    </x:xf>
    <x:xf numFmtId="0" fontId="9" fillId="10" borderId="8" xfId="0" applyNumberFormat="1" applyFont="1" applyFill="1" applyBorder="1" applyAlignment="1">
      <x:alignment wrapText="1"/>
    </x:xf>
    <x:xf numFmtId="0" fontId="9" fillId="10" borderId="9" xfId="0" applyNumberFormat="1" applyFont="1" applyFill="1" applyBorder="1" applyAlignment="1">
      <x:alignment wrapText="1"/>
    </x:xf>
    <x:xf numFmtId="0" fontId="9" fillId="10" borderId="12" xfId="0" applyNumberFormat="1" applyFont="1" applyFill="1" applyBorder="1" applyAlignment="1">
      <x:alignment wrapText="1"/>
    </x:xf>
    <x:xf numFmtId="0" fontId="9" fillId="10" borderId="10" xfId="0" applyNumberFormat="1" applyFont="1" applyFill="1" applyBorder="1" applyAlignment="1">
      <x:alignment wrapText="1"/>
    </x:xf>
    <x:xf numFmtId="0" fontId="9" fillId="10" borderId="5" xfId="0" applyNumberFormat="1" applyFont="1" applyFill="1" applyBorder="1" applyAlignment="1">
      <x:alignment vertical="center" wrapText="1"/>
    </x:xf>
    <x:xf numFmtId="0" fontId="9" fillId="10" borderId="11" xfId="0" applyNumberFormat="1" applyFont="1" applyFill="1" applyBorder="1" applyAlignment="1">
      <x:alignment vertical="center" wrapText="1"/>
    </x:xf>
    <x:xf numFmtId="0" fontId="9" fillId="10" borderId="6" xfId="0" applyNumberFormat="1" applyFont="1" applyFill="1" applyBorder="1" applyAlignment="1">
      <x:alignment vertical="center" wrapText="1"/>
    </x:xf>
    <x:xf numFmtId="0" fontId="9" fillId="10" borderId="7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9" fillId="10" borderId="8" xfId="0" applyNumberFormat="1" applyFont="1" applyFill="1" applyBorder="1" applyAlignment="1">
      <x:alignment vertical="center" wrapText="1"/>
    </x:xf>
    <x:xf numFmtId="0" fontId="9" fillId="10" borderId="9" xfId="0" applyNumberFormat="1" applyFont="1" applyFill="1" applyBorder="1" applyAlignment="1">
      <x:alignment vertical="center" wrapText="1"/>
    </x:xf>
    <x:xf numFmtId="0" fontId="9" fillId="10" borderId="12" xfId="0" applyNumberFormat="1" applyFont="1" applyFill="1" applyBorder="1" applyAlignment="1">
      <x:alignment vertical="center" wrapText="1"/>
    </x:xf>
    <x:xf numFmtId="0" fontId="9" fillId="10" borderId="10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 wrapText="1"/>
    </x:xf>
    <x:xf numFmtId="0" fontId="9" fillId="6" borderId="11" xfId="0" applyNumberFormat="1" applyFont="1" applyFill="1" applyBorder="1" applyAlignment="1">
      <x:alignment vertical="center" wrapText="1"/>
    </x:xf>
    <x:xf numFmtId="0" fontId="9" fillId="6" borderId="6" xfId="0" applyNumberFormat="1" applyFont="1" applyFill="1" applyBorder="1" applyAlignment="1">
      <x:alignment vertical="center" wrapText="1"/>
    </x:xf>
    <x:xf numFmtId="0" fontId="1" fillId="6" borderId="5" xfId="0" applyNumberFormat="1" applyFont="1" applyFill="1" applyBorder="1" applyAlignment="1">
      <x:alignment vertical="center" wrapText="1"/>
    </x:xf>
    <x:xf numFmtId="0" fontId="1" fillId="6" borderId="11" xfId="0" applyNumberFormat="1" applyFont="1" applyFill="1" applyBorder="1" applyAlignment="1">
      <x:alignment vertical="center" wrapText="1"/>
    </x:xf>
    <x:xf numFmtId="0" fontId="1" fillId="6" borderId="6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E1B4B"/>
      </x:font>
      <x:fill>
        <x:patternFill patternType="solid">
          <x:bgColor rgb="FFE0E7FF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1E1B4B"/>
      </x:font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1c620bf22412f" /><Relationship Type="http://schemas.openxmlformats.org/officeDocument/2006/relationships/theme" Target="/xl/theme/theme1.xml" Id="R402003f821db4342" /><Relationship Type="http://schemas.openxmlformats.org/officeDocument/2006/relationships/sharedStrings" Target="/xl/sharedStrings.xml" Id="R55d04e9fc9504203" /><Relationship Type="http://schemas.openxmlformats.org/officeDocument/2006/relationships/worksheet" Target="/xl/worksheets/sheet1.xml" Id="R66aaaf1b45ea4a61" /><Relationship Type="http://schemas.openxmlformats.org/officeDocument/2006/relationships/worksheet" Target="/xl/worksheets/sheet2.xml" Id="Rfa8505ccfe8e4384" /><Relationship Type="http://schemas.openxmlformats.org/officeDocument/2006/relationships/worksheet" Target="/xl/worksheets/sheet3.xml" Id="R873ea4af71974f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4b99fbb11d40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Candidate Fit Score (/100)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Total Score</c:v>
          </c:tx>
          <c:spPr>
            <a:solidFill xmlns:a="http://schemas.openxmlformats.org/drawingml/2006/main">
              <a:srgbClr val="4F46E5"/>
            </a:solidFill>
          </c:spPr>
          <c:cat>
            <c:strRef>
              <c:f>'Source Data'!$T$6:$T$10</c:f>
              <c:strCache>
                <c:ptCount val="0"/>
              </c:strCache>
            </c:strRef>
          </c:cat>
          <c:val>
            <c:numRef>
              <c:f>'Source Data'!$U$6:$U$10</c:f>
              <c:numCache>
                <c:formatCode>General</c:formatCode>
                <c:ptCount val="0"/>
              </c:numCache>
            </c:numRef>
          </c:val>
        </c:ser>
        <c:gapWidth val="6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15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4b99fbb11d409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DashboardRankedTable" displayName="DashboardRankedTable" ref="A16:H21" headerRowCount="1" totalsRowCount="0" totalsRowShown="0">
  <x:tableColumns count="8">
    <x:tableColumn id="1" name="Rank"/>
    <x:tableColumn id="2" name="Player"/>
    <x:tableColumn id="3" name="Club"/>
    <x:tableColumn id="4" name="Pos"/>
    <x:tableColumn id="5" name="Age"/>
    <x:tableColumn id="6" name="Market Value"/>
    <x:tableColumn id="7" name="Score"/>
    <x:tableColumn id="8" name="Simila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ankedCandidatesTable" displayName="RankedCandidatesTable" ref="A4:P9" headerRowCount="1" totalsRowCount="0" totalsRowShown="0">
  <x:tableColumns count="16">
    <x:tableColumn id="1" name="Rank"/>
    <x:tableColumn id="2" name="Player"/>
    <x:tableColumn id="3" name="Club"/>
    <x:tableColumn id="4" name="Position"/>
    <x:tableColumn id="5" name="Age"/>
    <x:tableColumn id="6" name="Market Value EUR"/>
    <x:tableColumn id="7" name="Minutes"/>
    <x:tableColumn id="8" name="Total Score"/>
    <x:tableColumn id="9" name="Similarity"/>
    <x:tableColumn id="10" name="Role Fit"/>
    <x:tableColumn id="11" name="Output"/>
    <x:tableColumn id="12" name="Affordability"/>
    <x:tableColumn id="13" name="Age Upside"/>
    <x:tableColumn id="14" name="Score Gap vs #1"/>
    <x:tableColumn id="15" name="Price Premium vs #1"/>
    <x:tableColumn id="16" name="Eligib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SourcePlayersTable" displayName="SourcePlayersTable" ref="A5:S25" headerRowCount="1" totalsRowCount="0" totalsRowShown="0">
  <x:tableColumns count="19">
    <x:tableColumn id="1" name="Player ID"/>
    <x:tableColumn id="2" name="Provider"/>
    <x:tableColumn id="3" name="Player"/>
    <x:tableColumn id="4" name="Age"/>
    <x:tableColumn id="5" name="Nationality"/>
    <x:tableColumn id="6" name="Club"/>
    <x:tableColumn id="7" name="Position"/>
    <x:tableColumn id="8" name="Market Value EUR"/>
    <x:tableColumn id="9" name="Minutes"/>
    <x:tableColumn id="10" name="Appearances"/>
    <x:tableColumn id="11" name="Goals"/>
    <x:tableColumn id="12" name="Assists"/>
    <x:tableColumn id="13" name="xG"/>
    <x:tableColumn id="14" name="xA"/>
    <x:tableColumn id="15" name="Key Passes"/>
    <x:tableColumn id="16" name="Pass Accuracy %"/>
    <x:tableColumn id="17" name="Tackles"/>
    <x:tableColumn id="18" name="Interceptions"/>
    <x:tableColumn id="19" name="Sho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466a7698e94ac1" /><Relationship Type="http://schemas.openxmlformats.org/officeDocument/2006/relationships/table" Target="/xl/tables/table1.xml" Id="Rae39f11239624d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9afeb10cfc46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7642daa09842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1" hidden="0" customWidth="1"/>
    <x:col min="3" max="3" width="25" hidden="0" customWidth="1"/>
    <x:col min="4" max="4" width="9" hidden="0" customWidth="1"/>
    <x:col min="5" max="5" width="9" hidden="0" customWidth="1"/>
    <x:col min="6" max="6" width="16" hidden="0" customWidth="1"/>
    <x:col min="7" max="7" width="12" hidden="0" customWidth="1"/>
    <x:col min="8" max="8" width="13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7" customHeight="1">
      <x:c r="A1" s="56" t="str">
        <x:v>QuickScout Scouting Decision Dashboard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 ht="27" customHeight="1">
      <x:c r="A2" s="56"/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</x:row>
    <x:row r="3" ht="24" customHeight="1">
      <x:c r="A3" s="5" t="str">
        <x:v>Mohamed Salah replacement shortlist | Seed-first snapshot | Generated from the existing QuickScout scoring engine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5">
      <x:c r="A5" s="47" t="str">
        <x:v>SCOUTING SCENARIO</x:v>
      </x:c>
      <x:c r="B5" s="47"/>
      <x:c r="C5" s="47"/>
      <x:c r="D5" s="47"/>
      <x:c r="E5" s="47"/>
      <x:c r="F5" s="47"/>
      <x:c r="G5" s="47"/>
      <x:c r="H5" s="47"/>
    </x:row>
    <x:row r="6">
      <x:c r="A6" s="60" t="str">
        <x:v>Target</x:v>
      </x:c>
      <x:c r="B6" s="61"/>
      <x:c r="C6" s="62" t="str">
        <x:v>Mohamed Salah</x:v>
      </x:c>
      <x:c r="D6" s="61" t="str">
        <x:v>Max age</x:v>
      </x:c>
      <x:c r="E6" s="61"/>
      <x:c r="F6" s="61"/>
      <x:c r="G6" s="62" t="n">
        <x:v>28</x:v>
      </x:c>
      <x:c r="H6" s="63"/>
    </x:row>
    <x:row r="7">
      <x:c r="A7" s="64" t="str">
        <x:v>Role / positions</x:v>
      </x:c>
      <x:c r="B7" s="58"/>
      <x:c r="C7" s="59" t="str">
        <x:v>Winger / RW-LW</x:v>
      </x:c>
      <x:c r="D7" s="58" t="str">
        <x:v>Max market value</x:v>
      </x:c>
      <x:c r="E7" s="58"/>
      <x:c r="F7" s="58"/>
      <x:c r="G7" s="70" t="n">
        <x:v>100000000</x:v>
      </x:c>
      <x:c r="H7" s="65"/>
    </x:row>
    <x:row r="8">
      <x:c r="A8" s="64" t="str">
        <x:v>Mode</x:v>
      </x:c>
      <x:c r="B8" s="58"/>
      <x:c r="C8" s="59" t="str">
        <x:v>like_for_like</x:v>
      </x:c>
      <x:c r="D8" s="58" t="str">
        <x:v>Minimum minutes</x:v>
      </x:c>
      <x:c r="E8" s="58"/>
      <x:c r="F8" s="58"/>
      <x:c r="G8" s="71" t="n">
        <x:v>2000</x:v>
      </x:c>
      <x:c r="H8" s="65"/>
    </x:row>
    <x:row r="9">
      <x:c r="A9" s="66" t="str">
        <x:v>Data source</x:v>
      </x:c>
      <x:c r="B9" s="67"/>
      <x:c r="C9" s="68" t="str">
        <x:v>QuickScout seed snapshot</x:v>
      </x:c>
      <x:c r="D9" s="67" t="str">
        <x:v>Eligible candidates</x:v>
      </x:c>
      <x:c r="E9" s="67"/>
      <x:c r="F9" s="67"/>
      <x:c r="G9" s="72" t="n">
        <x:v>5</x:v>
      </x:c>
      <x:c r="H9" s="69"/>
    </x:row>
    <x:row r="11" ht="24" customHeight="1">
      <x:c r="A11" s="92" t="str">
        <x:v>TOP CANDIDATE</x:v>
      </x:c>
      <x:c r="B11" s="93"/>
      <x:c r="C11" s="94"/>
      <x:c r="D11" s="119" t="str">
        <x:v>TOP SCORE</x:v>
      </x:c>
      <x:c r="E11" s="120"/>
      <x:c r="F11" s="121"/>
      <x:c r="G11" s="147" t="str">
        <x:v>ELIGIBLE</x:v>
      </x:c>
      <x:c r="H11" s="148"/>
      <x:c r="I11" s="149"/>
      <x:c r="J11" s="174" t="str">
        <x:v>TOP CANDIDATE VALUE</x:v>
      </x:c>
      <x:c r="K11" s="175"/>
      <x:c r="L11" s="175"/>
      <x:c r="M11" s="175"/>
      <x:c r="N11" s="176"/>
    </x:row>
    <x:row r="12" ht="24" customHeight="1">
      <x:c r="A12" s="95" t="str">
        <x:f>'Ranked Candidates'!B5</x:f>
        <x:v>Nico Williams</x:v>
      </x:c>
      <x:c r="B12" s="96"/>
      <x:c r="C12" s="97"/>
      <x:c r="D12" s="183" t="n">
        <x:f>'Ranked Candidates'!H5</x:f>
        <x:v>86.29797482827693</x:v>
      </x:c>
      <x:c r="E12" s="184"/>
      <x:c r="F12" s="185"/>
      <x:c r="G12" s="189" t="n">
        <x:f>COUNTA('Ranked Candidates'!B5:B9)</x:f>
        <x:v>5</x:v>
      </x:c>
      <x:c r="H12" s="190"/>
      <x:c r="I12" s="191"/>
      <x:c r="J12" s="195" t="n">
        <x:f>'Ranked Candidates'!F5</x:f>
        <x:v>70000000</x:v>
      </x:c>
      <x:c r="K12" s="196"/>
      <x:c r="L12" s="196"/>
      <x:c r="M12" s="196"/>
      <x:c r="N12" s="197"/>
    </x:row>
    <x:row r="13" ht="24" customHeight="1">
      <x:c r="A13" s="95"/>
      <x:c r="B13" s="96"/>
      <x:c r="C13" s="97"/>
      <x:c r="D13" s="183"/>
      <x:c r="E13" s="184"/>
      <x:c r="F13" s="185"/>
      <x:c r="G13" s="189"/>
      <x:c r="H13" s="190"/>
      <x:c r="I13" s="191"/>
      <x:c r="J13" s="195"/>
      <x:c r="K13" s="196"/>
      <x:c r="L13" s="196"/>
      <x:c r="M13" s="196"/>
      <x:c r="N13" s="197"/>
    </x:row>
    <x:row r="14" ht="24" customHeight="1">
      <x:c r="A14" s="98"/>
      <x:c r="B14" s="99"/>
      <x:c r="C14" s="100"/>
      <x:c r="D14" s="186"/>
      <x:c r="E14" s="187"/>
      <x:c r="F14" s="188"/>
      <x:c r="G14" s="192"/>
      <x:c r="H14" s="193"/>
      <x:c r="I14" s="194"/>
      <x:c r="J14" s="198"/>
      <x:c r="K14" s="199"/>
      <x:c r="L14" s="199"/>
      <x:c r="M14" s="199"/>
      <x:c r="N14" s="200"/>
    </x:row>
    <x:row r="16" ht="32" customHeight="1">
      <x:c r="A16" s="11" t="str">
        <x:v>Rank</x:v>
      </x:c>
      <x:c r="B16" s="11" t="str">
        <x:v>Player</x:v>
      </x:c>
      <x:c r="C16" s="11" t="str">
        <x:v>Club</x:v>
      </x:c>
      <x:c r="D16" s="11" t="str">
        <x:v>Pos</x:v>
      </x:c>
      <x:c r="E16" s="11" t="str">
        <x:v>Age</x:v>
      </x:c>
      <x:c r="F16" s="11" t="str">
        <x:v>Market Value</x:v>
      </x:c>
      <x:c r="G16" s="11" t="str">
        <x:v>Score</x:v>
      </x:c>
      <x:c r="H16" s="11" t="str">
        <x:v>Similarity</x:v>
      </x:c>
    </x:row>
    <x:row r="17">
      <x:c r="A17" s="16" t="n">
        <x:f>'Ranked Candidates'!A5</x:f>
        <x:v>1</x:v>
      </x:c>
      <x:c r="B17" t="str">
        <x:f>'Ranked Candidates'!B5</x:f>
        <x:v>Nico Williams</x:v>
      </x:c>
      <x:c r="C17" t="str">
        <x:f>'Ranked Candidates'!C5</x:f>
        <x:v>Athletic Club</x:v>
      </x:c>
      <x:c r="D17" s="16" t="str">
        <x:f>'Ranked Candidates'!D5</x:f>
        <x:v>LW</x:v>
      </x:c>
      <x:c r="E17" s="16" t="n">
        <x:f>'Ranked Candidates'!E5</x:f>
        <x:v>23</x:v>
      </x:c>
      <x:c r="F17" s="13" t="n">
        <x:f>'Ranked Candidates'!F5</x:f>
        <x:v>70000000</x:v>
      </x:c>
      <x:c r="G17" s="15" t="n">
        <x:f>'Ranked Candidates'!H5</x:f>
        <x:v>86.29797482827693</x:v>
      </x:c>
      <x:c r="H17" s="15" t="n">
        <x:f>'Ranked Candidates'!I5</x:f>
        <x:v>96.13703400992755</x:v>
      </x:c>
    </x:row>
    <x:row r="18">
      <x:c r="A18" s="16" t="n">
        <x:f>'Ranked Candidates'!A6</x:f>
        <x:v>2</x:v>
      </x:c>
      <x:c r="B18" t="str">
        <x:f>'Ranked Candidates'!B6</x:f>
        <x:v>Khvicha Kvaratskhelia</x:v>
      </x:c>
      <x:c r="C18" t="str">
        <x:f>'Ranked Candidates'!C6</x:f>
        <x:v>Napoli</x:v>
      </x:c>
      <x:c r="D18" s="16" t="str">
        <x:f>'Ranked Candidates'!D6</x:f>
        <x:v>LW</x:v>
      </x:c>
      <x:c r="E18" s="16" t="n">
        <x:f>'Ranked Candidates'!E6</x:f>
        <x:v>25</x:v>
      </x:c>
      <x:c r="F18" s="13" t="n">
        <x:f>'Ranked Candidates'!F6</x:f>
        <x:v>90000000</x:v>
      </x:c>
      <x:c r="G18" s="15" t="n">
        <x:f>'Ranked Candidates'!H6</x:f>
        <x:v>86.28945246498603</x:v>
      </x:c>
      <x:c r="H18" s="15" t="n">
        <x:f>'Ranked Candidates'!I6</x:f>
        <x:v>98.96994727668852</x:v>
      </x:c>
    </x:row>
    <x:row r="19">
      <x:c r="A19" s="16" t="n">
        <x:f>'Ranked Candidates'!A7</x:f>
        <x:v>3</x:v>
      </x:c>
      <x:c r="B19" t="str">
        <x:f>'Ranked Candidates'!B7</x:f>
        <x:v>Michael Olise</x:v>
      </x:c>
      <x:c r="C19" t="str">
        <x:f>'Ranked Candidates'!C7</x:f>
        <x:v>Bayern Munich</x:v>
      </x:c>
      <x:c r="D19" s="16" t="str">
        <x:f>'Ranked Candidates'!D7</x:f>
        <x:v>RW</x:v>
      </x:c>
      <x:c r="E19" s="16" t="n">
        <x:f>'Ranked Candidates'!E7</x:f>
        <x:v>25</x:v>
      </x:c>
      <x:c r="F19" s="13" t="n">
        <x:f>'Ranked Candidates'!F7</x:f>
        <x:v>75000000</x:v>
      </x:c>
      <x:c r="G19" s="15" t="n">
        <x:f>'Ranked Candidates'!H7</x:f>
        <x:v>84.06259590318754</x:v>
      </x:c>
      <x:c r="H19" s="15" t="n">
        <x:f>'Ranked Candidates'!I7</x:f>
        <x:v>96.8137051816866</x:v>
      </x:c>
    </x:row>
    <x:row r="20">
      <x:c r="A20" s="16" t="n">
        <x:f>'Ranked Candidates'!A8</x:f>
        <x:v>4</x:v>
      </x:c>
      <x:c r="B20" t="str">
        <x:f>'Ranked Candidates'!B8</x:f>
        <x:v>Rodrygo</x:v>
      </x:c>
      <x:c r="C20" t="str">
        <x:f>'Ranked Candidates'!C8</x:f>
        <x:v>Real Madrid</x:v>
      </x:c>
      <x:c r="D20" s="16" t="str">
        <x:f>'Ranked Candidates'!D8</x:f>
        <x:v>RW</x:v>
      </x:c>
      <x:c r="E20" s="16" t="n">
        <x:f>'Ranked Candidates'!E8</x:f>
        <x:v>25</x:v>
      </x:c>
      <x:c r="F20" s="13" t="n">
        <x:f>'Ranked Candidates'!F8</x:f>
        <x:v>100000000</x:v>
      </x:c>
      <x:c r="G20" s="15" t="n">
        <x:f>'Ranked Candidates'!H8</x:f>
        <x:v>83.47197089481533</x:v>
      </x:c>
      <x:c r="H20" s="15" t="n">
        <x:f>'Ranked Candidates'!I8</x:f>
        <x:v>98.4139035757801</x:v>
      </x:c>
    </x:row>
    <x:row r="21">
      <x:c r="A21" s="16" t="n">
        <x:f>'Ranked Candidates'!A9</x:f>
        <x:v>5</x:v>
      </x:c>
      <x:c r="B21" t="str">
        <x:f>'Ranked Candidates'!B9</x:f>
        <x:v>Rafael Leao</x:v>
      </x:c>
      <x:c r="C21" t="str">
        <x:f>'Ranked Candidates'!C9</x:f>
        <x:v>AC Milan</x:v>
      </x:c>
      <x:c r="D21" s="16" t="str">
        <x:f>'Ranked Candidates'!D9</x:f>
        <x:v>LW</x:v>
      </x:c>
      <x:c r="E21" s="16" t="n">
        <x:f>'Ranked Candidates'!E9</x:f>
        <x:v>27</x:v>
      </x:c>
      <x:c r="F21" s="13" t="n">
        <x:f>'Ranked Candidates'!F9</x:f>
        <x:v>85000000</x:v>
      </x:c>
      <x:c r="G21" s="15" t="n">
        <x:f>'Ranked Candidates'!H9</x:f>
        <x:v>83.03840346395445</x:v>
      </x:c>
      <x:c r="H21" s="15" t="n">
        <x:f>'Ranked Candidates'!I9</x:f>
        <x:v>98.36311880878768</x:v>
      </x:c>
    </x:row>
    <x:row r="26" ht="26" customHeight="1">
      <x:c r="A26" s="230" t="str">
        <x:v>INSIGHT 1 — PRIORITY CONTACT</x:v>
      </x:c>
      <x:c r="B26" s="231"/>
      <x:c r="C26" s="231"/>
      <x:c r="D26" s="231"/>
      <x:c r="E26" s="231"/>
      <x:c r="F26" s="232"/>
      <x:c r="H26" s="264" t="str">
        <x:v>INSIGHT 2 — FIT VS PRICE TRADE-OFF</x:v>
      </x:c>
      <x:c r="I26" s="265"/>
      <x:c r="J26" s="265"/>
      <x:c r="K26" s="265"/>
      <x:c r="L26" s="265"/>
      <x:c r="M26" s="265"/>
      <x:c r="N26" s="266"/>
    </x:row>
    <x:row r="27" ht="20" customHeight="1">
      <x:c r="A27" s="221" t="str">
        <x:f>"Prioritize "&amp;'Ranked Candidates'!B5&amp;": #1 at "&amp;TEXT('Ranked Candidates'!H5,"0.0")&amp;"/100, age "&amp;TEXT('Ranked Candidates'!E5,"0")&amp;", with the highest age-upside score ("&amp;TEXT('Ranked Candidates'!M5,"0")&amp;")."</x:f>
        <x:v>Prioritize Nico Williams: #1 at 86.3/100, age 23, with the highest age-upside score (90).</x:v>
      </x:c>
      <x:c r="B27" s="222"/>
      <x:c r="C27" s="222"/>
      <x:c r="D27" s="222"/>
      <x:c r="E27" s="222"/>
      <x:c r="F27" s="223"/>
      <x:c r="H27" s="255" t="str">
        <x:f>'Ranked Candidates'!B6&amp;" leads similarity ("&amp;TEXT('Ranked Candidates'!I6,"0.0")&amp;") and role output ("&amp;TEXT('Ranked Candidates'!J6,"0.0")&amp;"), but costs EUR "&amp;TEXT(('Ranked Candidates'!F6-'Ranked Candidates'!F5)/1000000,"0")&amp;"m more than "&amp;'Ranked Candidates'!B5&amp;" for only "&amp;TEXT(ABS('Ranked Candidates'!H6-'Ranked Candidates'!H5),"0.00")&amp;" score difference."</x:f>
        <x:v>Khvicha Kvaratskhelia leads similarity (99.0) and role output (79.6), but costs EUR 20m more than Nico Williams for only 0.01 score difference.</x:v>
      </x:c>
      <x:c r="I27" s="256"/>
      <x:c r="J27" s="256"/>
      <x:c r="K27" s="256"/>
      <x:c r="L27" s="256"/>
      <x:c r="M27" s="256"/>
      <x:c r="N27" s="257"/>
    </x:row>
    <x:row r="28" ht="20" customHeight="1">
      <x:c r="A28" s="221"/>
      <x:c r="B28" s="222"/>
      <x:c r="C28" s="222"/>
      <x:c r="D28" s="222"/>
      <x:c r="E28" s="222"/>
      <x:c r="F28" s="223"/>
      <x:c r="H28" s="255"/>
      <x:c r="I28" s="256"/>
      <x:c r="J28" s="256"/>
      <x:c r="K28" s="256"/>
      <x:c r="L28" s="256"/>
      <x:c r="M28" s="256"/>
      <x:c r="N28" s="257"/>
    </x:row>
    <x:row r="29" ht="20" customHeight="1">
      <x:c r="A29" s="221"/>
      <x:c r="B29" s="222"/>
      <x:c r="C29" s="222"/>
      <x:c r="D29" s="222"/>
      <x:c r="E29" s="222"/>
      <x:c r="F29" s="223"/>
      <x:c r="H29" s="255"/>
      <x:c r="I29" s="256"/>
      <x:c r="J29" s="256"/>
      <x:c r="K29" s="256"/>
      <x:c r="L29" s="256"/>
      <x:c r="M29" s="256"/>
      <x:c r="N29" s="257"/>
    </x:row>
    <x:row r="30" ht="20" customHeight="1">
      <x:c r="A30" s="221"/>
      <x:c r="B30" s="222"/>
      <x:c r="C30" s="222"/>
      <x:c r="D30" s="222"/>
      <x:c r="E30" s="222"/>
      <x:c r="F30" s="223"/>
      <x:c r="H30" s="255"/>
      <x:c r="I30" s="256"/>
      <x:c r="J30" s="256"/>
      <x:c r="K30" s="256"/>
      <x:c r="L30" s="256"/>
      <x:c r="M30" s="256"/>
      <x:c r="N30" s="257"/>
    </x:row>
    <x:row r="31" ht="20" customHeight="1">
      <x:c r="A31" s="221"/>
      <x:c r="B31" s="222"/>
      <x:c r="C31" s="222"/>
      <x:c r="D31" s="222"/>
      <x:c r="E31" s="222"/>
      <x:c r="F31" s="223"/>
      <x:c r="H31" s="255"/>
      <x:c r="I31" s="256"/>
      <x:c r="J31" s="256"/>
      <x:c r="K31" s="256"/>
      <x:c r="L31" s="256"/>
      <x:c r="M31" s="256"/>
      <x:c r="N31" s="257"/>
    </x:row>
    <x:row r="32" ht="20" customHeight="1">
      <x:c r="A32" s="221"/>
      <x:c r="B32" s="222"/>
      <x:c r="C32" s="222"/>
      <x:c r="D32" s="222"/>
      <x:c r="E32" s="222"/>
      <x:c r="F32" s="223"/>
      <x:c r="H32" s="255"/>
      <x:c r="I32" s="256"/>
      <x:c r="J32" s="256"/>
      <x:c r="K32" s="256"/>
      <x:c r="L32" s="256"/>
      <x:c r="M32" s="256"/>
      <x:c r="N32" s="257"/>
    </x:row>
    <x:row r="33" ht="20" customHeight="1">
      <x:c r="A33" s="224"/>
      <x:c r="B33" s="225"/>
      <x:c r="C33" s="225"/>
      <x:c r="D33" s="225"/>
      <x:c r="E33" s="225"/>
      <x:c r="F33" s="226"/>
      <x:c r="H33" s="258"/>
      <x:c r="I33" s="259"/>
      <x:c r="J33" s="259"/>
      <x:c r="K33" s="259"/>
      <x:c r="L33" s="259"/>
      <x:c r="M33" s="259"/>
      <x:c r="N33" s="260"/>
    </x:row>
    <x:row r="35" ht="32" customHeight="1">
      <x:c r="A35" s="268" t="str">
        <x:v>Decision note: position eligibility (RW/LW) is applied in this workbook only; QuickScout API and scoring contracts are unchanged.</x:v>
      </x:c>
      <x:c r="B35" s="268"/>
      <x:c r="C35" s="268"/>
      <x:c r="D35" s="268"/>
      <x:c r="E35" s="268"/>
      <x:c r="F35" s="268"/>
      <x:c r="G35" s="268"/>
      <x:c r="H35" s="268"/>
      <x:c r="I35" s="268"/>
      <x:c r="J35" s="268"/>
      <x:c r="K35" s="268"/>
      <x:c r="L35" s="268"/>
      <x:c r="M35" s="268"/>
      <x:c r="N35" s="268"/>
    </x:row>
  </x:sheetData>
  <x:mergeCells>
    <x:mergeCell ref="A1:N2"/>
    <x:mergeCell ref="A3:N3"/>
    <x:mergeCell ref="A5:H5"/>
    <x:mergeCell ref="A6:B6"/>
    <x:mergeCell ref="D6:F6"/>
    <x:mergeCell ref="G6:H6"/>
    <x:mergeCell ref="A7:B7"/>
    <x:mergeCell ref="D7:F7"/>
    <x:mergeCell ref="G7:H7"/>
    <x:mergeCell ref="A8:B8"/>
    <x:mergeCell ref="D8:F8"/>
    <x:mergeCell ref="G8:H8"/>
    <x:mergeCell ref="A9:B9"/>
    <x:mergeCell ref="D9:F9"/>
    <x:mergeCell ref="G9:H9"/>
    <x:mergeCell ref="A11:C11"/>
    <x:mergeCell ref="A12:C14"/>
    <x:mergeCell ref="D11:F11"/>
    <x:mergeCell ref="D12:F14"/>
    <x:mergeCell ref="G11:I11"/>
    <x:mergeCell ref="G12:I14"/>
    <x:mergeCell ref="J11:N11"/>
    <x:mergeCell ref="J12:N14"/>
    <x:mergeCell ref="A26:F26"/>
    <x:mergeCell ref="A27:F33"/>
    <x:mergeCell ref="H26:N26"/>
    <x:mergeCell ref="H27:N33"/>
    <x:mergeCell ref="A35:N35"/>
  </x:mergeCells>
  <x:conditionalFormatting sqref="A17:H21">
    <x:cfRule type="expression" dxfId="2" priority="1">
      <x:formula>$A17=1</x:formula>
    </x:cfRule>
  </x:conditionalFormatting>
  <x:conditionalFormatting sqref="G17:G21">
    <x:cfRule type="dataBar" priority="2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8466a7698e94ac1"/>
  <x:tableParts count="1">
    <x:tablePart xmlns:r="http://schemas.openxmlformats.org/officeDocument/2006/relationships" r:id="Rae39f11239624db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4F46E5"/>
            </x14:dataBar>
          </x14:cfRule>
          <xm:sqref>G17:G21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0" hidden="0" customWidth="1"/>
    <x:col min="4" max="4" width="10" hidden="0" customWidth="1"/>
    <x:col min="5" max="5" width="8" hidden="0" customWidth="1"/>
    <x:col min="6" max="6" width="17" hidden="0" customWidth="1"/>
    <x:col min="7" max="7" width="12" hidden="0" customWidth="1"/>
    <x:col min="8" max="8" width="13" hidden="0" customWidth="1"/>
    <x:col min="9" max="9" width="12" hidden="0" customWidth="1"/>
    <x:col min="10" max="10" width="11" hidden="0" customWidth="1"/>
    <x:col min="11" max="11" width="11" hidden="0" customWidth="1"/>
    <x:col min="12" max="12" width="14" hidden="0" customWidth="1"/>
    <x:col min="13" max="13" width="12" hidden="0" customWidth="1"/>
    <x:col min="14" max="14" width="16" hidden="0" customWidth="1"/>
    <x:col min="15" max="15" width="20" hidden="0" customWidth="1"/>
    <x:col min="16" max="16" width="10" hidden="0" customWidth="1"/>
  </x:cols>
  <x:sheetData>
    <x:row r="1" ht="30" customHeight="1">
      <x:c r="A1" s="3" t="str">
        <x:v>QuickScout Ranked Candidates — Mohamed Salah Replacement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6" t="str">
        <x:v>Scores are produced by src/lib/scoring.ts. This analysis layer keeps RW/LW candidates only.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4" ht="34" customHeight="1">
      <x:c r="A4" s="11" t="str">
        <x:v>Rank</x:v>
      </x:c>
      <x:c r="B4" s="11" t="str">
        <x:v>Player</x:v>
      </x:c>
      <x:c r="C4" s="11" t="str">
        <x:v>Club</x:v>
      </x:c>
      <x:c r="D4" s="11" t="str">
        <x:v>Position</x:v>
      </x:c>
      <x:c r="E4" s="11" t="str">
        <x:v>Age</x:v>
      </x:c>
      <x:c r="F4" s="11" t="str">
        <x:v>Market Value EUR</x:v>
      </x:c>
      <x:c r="G4" s="11" t="str">
        <x:v>Minutes</x:v>
      </x:c>
      <x:c r="H4" s="11" t="str">
        <x:v>Total Score</x:v>
      </x:c>
      <x:c r="I4" s="11" t="str">
        <x:v>Similarity</x:v>
      </x:c>
      <x:c r="J4" s="11" t="str">
        <x:v>Role Fit</x:v>
      </x:c>
      <x:c r="K4" s="11" t="str">
        <x:v>Output</x:v>
      </x:c>
      <x:c r="L4" s="11" t="str">
        <x:v>Affordability</x:v>
      </x:c>
      <x:c r="M4" s="11" t="str">
        <x:v>Age Upside</x:v>
      </x:c>
      <x:c r="N4" s="11" t="str">
        <x:v>Score Gap vs #1</x:v>
      </x:c>
      <x:c r="O4" s="11" t="str">
        <x:v>Price Premium vs #1</x:v>
      </x:c>
      <x:c r="P4" s="11" t="str">
        <x:v>Eligible</x:v>
      </x:c>
    </x:row>
    <x:row r="5">
      <x:c r="A5" s="18" t="n">
        <x:f>RANK.EQ(H5,$H$5:$H$9,0)</x:f>
        <x:v>1</x:v>
      </x:c>
      <x:c r="B5" s="19" t="str">
        <x:v>Nico Williams</x:v>
      </x:c>
      <x:c r="C5" s="19" t="str">
        <x:v>Athletic Club</x:v>
      </x:c>
      <x:c r="D5" s="18" t="str">
        <x:v>LW</x:v>
      </x:c>
      <x:c r="E5" s="20" t="n">
        <x:v>23</x:v>
      </x:c>
      <x:c r="F5" s="21" t="n">
        <x:v>70000000</x:v>
      </x:c>
      <x:c r="G5" s="22" t="n">
        <x:v>2460</x:v>
      </x:c>
      <x:c r="H5" s="23" t="n">
        <x:v>86.29797482827693</x:v>
      </x:c>
      <x:c r="I5" s="23" t="n">
        <x:v>96.13703400992755</x:v>
      </x:c>
      <x:c r="J5" s="23" t="n">
        <x:v>76.67517006802723</x:v>
      </x:c>
      <x:c r="K5" s="23" t="n">
        <x:v>76.67517006802723</x:v>
      </x:c>
      <x:c r="L5" s="23" t="n">
        <x:v>72</x:v>
      </x:c>
      <x:c r="M5" s="23" t="n">
        <x:v>90</x:v>
      </x:c>
      <x:c r="N5" s="23" t="n">
        <x:f>H5-MAX($H$5:$H$9)</x:f>
        <x:v>0</x:v>
      </x:c>
      <x:c r="O5" s="21" t="n">
        <x:f>F5-INDEX($F$5:$F$9,MATCH(MAX($H$5:$H$9),$H$5:$H$9,0))</x:f>
        <x:v>0</x:v>
      </x:c>
      <x:c r="P5" s="18" t="str">
        <x:f>IF(AND(OR(D5="RW",D5="LW"),E5&lt;=28,F5&lt;=100000000,G5&gt;=2000),"Yes","No")</x:f>
        <x:v>Yes</x:v>
      </x:c>
    </x:row>
    <x:row r="6">
      <x:c r="A6" s="24" t="n">
        <x:f>RANK.EQ(H6,$H$5:$H$9,0)</x:f>
        <x:v>2</x:v>
      </x:c>
      <x:c r="B6" s="25" t="str">
        <x:v>Khvicha Kvaratskhelia</x:v>
      </x:c>
      <x:c r="C6" s="25" t="str">
        <x:v>Napoli</x:v>
      </x:c>
      <x:c r="D6" s="24" t="str">
        <x:v>LW</x:v>
      </x:c>
      <x:c r="E6" s="26" t="n">
        <x:v>25</x:v>
      </x:c>
      <x:c r="F6" s="27" t="n">
        <x:v>90000000</x:v>
      </x:c>
      <x:c r="G6" s="28" t="n">
        <x:v>2745</x:v>
      </x:c>
      <x:c r="H6" s="29" t="n">
        <x:v>86.28945246498603</x:v>
      </x:c>
      <x:c r="I6" s="29" t="n">
        <x:v>98.96994727668852</x:v>
      </x:c>
      <x:c r="J6" s="29" t="n">
        <x:v>79.57993197278913</x:v>
      </x:c>
      <x:c r="K6" s="29" t="n">
        <x:v>79.57993197278913</x:v>
      </x:c>
      <x:c r="L6" s="29" t="n">
        <x:v>64</x:v>
      </x:c>
      <x:c r="M6" s="29" t="n">
        <x:v>75</x:v>
      </x:c>
      <x:c r="N6" s="29" t="n">
        <x:f>H6-MAX($H$5:$H$9)</x:f>
        <x:v>-0.00852236329090772</x:v>
      </x:c>
      <x:c r="O6" s="27" t="n">
        <x:f>F6-INDEX($F$5:$F$9,MATCH(MAX($H$5:$H$9),$H$5:$H$9,0))</x:f>
        <x:v>20000000</x:v>
      </x:c>
      <x:c r="P6" s="24" t="str">
        <x:f>IF(AND(OR(D6="RW",D6="LW"),E6&lt;=28,F6&lt;=100000000,G6&gt;=2000),"Yes","No")</x:f>
        <x:v>Yes</x:v>
      </x:c>
    </x:row>
    <x:row r="7">
      <x:c r="A7" s="24" t="n">
        <x:f>RANK.EQ(H7,$H$5:$H$9,0)</x:f>
        <x:v>3</x:v>
      </x:c>
      <x:c r="B7" s="25" t="str">
        <x:v>Michael Olise</x:v>
      </x:c>
      <x:c r="C7" s="25" t="str">
        <x:v>Bayern Munich</x:v>
      </x:c>
      <x:c r="D7" s="24" t="str">
        <x:v>RW</x:v>
      </x:c>
      <x:c r="E7" s="26" t="n">
        <x:v>25</x:v>
      </x:c>
      <x:c r="F7" s="27" t="n">
        <x:v>75000000</x:v>
      </x:c>
      <x:c r="G7" s="28" t="n">
        <x:v>2270</x:v>
      </x:c>
      <x:c r="H7" s="29" t="n">
        <x:v>84.06259590318754</x:v>
      </x:c>
      <x:c r="I7" s="29" t="n">
        <x:v>96.8137051816866</x:v>
      </x:c>
      <x:c r="J7" s="29" t="n">
        <x:v>74.27551020408164</x:v>
      </x:c>
      <x:c r="K7" s="29" t="n">
        <x:v>74.27551020408164</x:v>
      </x:c>
      <x:c r="L7" s="29" t="n">
        <x:v>70</x:v>
      </x:c>
      <x:c r="M7" s="29" t="n">
        <x:v>75</x:v>
      </x:c>
      <x:c r="N7" s="29" t="n">
        <x:f>H7-MAX($H$5:$H$9)</x:f>
        <x:v>-2.2353789250893925</x:v>
      </x:c>
      <x:c r="O7" s="27" t="n">
        <x:f>F7-INDEX($F$5:$F$9,MATCH(MAX($H$5:$H$9),$H$5:$H$9,0))</x:f>
        <x:v>5000000</x:v>
      </x:c>
      <x:c r="P7" s="24" t="str">
        <x:f>IF(AND(OR(D7="RW",D7="LW"),E7&lt;=28,F7&lt;=100000000,G7&gt;=2000),"Yes","No")</x:f>
        <x:v>Yes</x:v>
      </x:c>
    </x:row>
    <x:row r="8">
      <x:c r="A8" s="24" t="n">
        <x:f>RANK.EQ(H8,$H$5:$H$9,0)</x:f>
        <x:v>4</x:v>
      </x:c>
      <x:c r="B8" s="25" t="str">
        <x:v>Rodrygo</x:v>
      </x:c>
      <x:c r="C8" s="25" t="str">
        <x:v>Real Madrid</x:v>
      </x:c>
      <x:c r="D8" s="24" t="str">
        <x:v>RW</x:v>
      </x:c>
      <x:c r="E8" s="26" t="n">
        <x:v>25</x:v>
      </x:c>
      <x:c r="F8" s="27" t="n">
        <x:v>100000000</x:v>
      </x:c>
      <x:c r="G8" s="28" t="n">
        <x:v>2610</x:v>
      </x:c>
      <x:c r="H8" s="29" t="n">
        <x:v>83.47197089481533</x:v>
      </x:c>
      <x:c r="I8" s="29" t="n">
        <x:v>98.4139035757801</x:v>
      </x:c>
      <x:c r="J8" s="29" t="n">
        <x:v>73.38775510204081</x:v>
      </x:c>
      <x:c r="K8" s="29" t="n">
        <x:v>73.38775510204081</x:v>
      </x:c>
      <x:c r="L8" s="29" t="n">
        <x:v>60</x:v>
      </x:c>
      <x:c r="M8" s="29" t="n">
        <x:v>75</x:v>
      </x:c>
      <x:c r="N8" s="29" t="n">
        <x:f>H8-MAX($H$5:$H$9)</x:f>
        <x:v>-2.8260039334616067</x:v>
      </x:c>
      <x:c r="O8" s="27" t="n">
        <x:f>F8-INDEX($F$5:$F$9,MATCH(MAX($H$5:$H$9),$H$5:$H$9,0))</x:f>
        <x:v>30000000</x:v>
      </x:c>
      <x:c r="P8" s="24" t="str">
        <x:f>IF(AND(OR(D8="RW",D8="LW"),E8&lt;=28,F8&lt;=100000000,G8&gt;=2000),"Yes","No")</x:f>
        <x:v>Yes</x:v>
      </x:c>
    </x:row>
    <x:row r="9">
      <x:c r="A9" s="30" t="n">
        <x:f>RANK.EQ(H9,$H$5:$H$9,0)</x:f>
        <x:v>5</x:v>
      </x:c>
      <x:c r="B9" s="31" t="str">
        <x:v>Rafael Leao</x:v>
      </x:c>
      <x:c r="C9" s="31" t="str">
        <x:v>AC Milan</x:v>
      </x:c>
      <x:c r="D9" s="30" t="str">
        <x:v>LW</x:v>
      </x:c>
      <x:c r="E9" s="32" t="n">
        <x:v>27</x:v>
      </x:c>
      <x:c r="F9" s="33" t="n">
        <x:v>85000000</x:v>
      </x:c>
      <x:c r="G9" s="34" t="n">
        <x:v>2520</x:v>
      </x:c>
      <x:c r="H9" s="35" t="n">
        <x:v>83.03840346395445</x:v>
      </x:c>
      <x:c r="I9" s="35" t="n">
        <x:v>98.36311880878768</x:v>
      </x:c>
      <x:c r="J9" s="35" t="n">
        <x:v>70.5</x:v>
      </x:c>
      <x:c r="K9" s="35" t="n">
        <x:v>70.5</x:v>
      </x:c>
      <x:c r="L9" s="35" t="n">
        <x:v>66</x:v>
      </x:c>
      <x:c r="M9" s="35" t="n">
        <x:v>75</x:v>
      </x:c>
      <x:c r="N9" s="35" t="n">
        <x:f>H9-MAX($H$5:$H$9)</x:f>
        <x:v>-3.2595713643224826</x:v>
      </x:c>
      <x:c r="O9" s="33" t="n">
        <x:f>F9-INDEX($F$5:$F$9,MATCH(MAX($H$5:$H$9),$H$5:$H$9,0))</x:f>
        <x:v>15000000</x:v>
      </x:c>
      <x:c r="P9" s="30" t="str">
        <x:f>IF(AND(OR(D9="RW",D9="LW"),E9&lt;=28,F9&lt;=100000000,G9&gt;=2000),"Yes","No")</x:f>
        <x:v>Yes</x:v>
      </x:c>
    </x:row>
  </x:sheetData>
  <x:mergeCells>
    <x:mergeCell ref="A1:P1"/>
    <x:mergeCell ref="A2:P2"/>
  </x:mergeCells>
  <x:conditionalFormatting sqref="A5:P9">
    <x:cfRule type="expression" dxfId="0" priority="1">
      <x:formula>$A5=1</x:formula>
    </x:cfRule>
  </x:conditionalFormatting>
  <x:conditionalFormatting sqref="H5:H9">
    <x:cfRule type="dataBar" priority="2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{61E1A5C1-C7FC-5481-8DA9-09FFB648B52D}</x14:id>
        </x:ext>
      </x:extLst>
    </x:cfRule>
  </x:conditionalFormatting>
  <x:conditionalFormatting sqref="P5:P9">
    <x:cfRule type="containsText" dxfId="1" priority="3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b19afeb10cfc460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61E1A5C1-C7FC-5481-8DA9-09FFB648B52D}">
            <x14:dataBar gradient="1">
              <x14:cfvo type="min"/>
              <x14:cfvo type="max"/>
              <x14:fillColor rgb="FF4F46E5"/>
            </x14:dataBar>
          </x14:cfRule>
          <xm:sqref>H5:H9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24" hidden="0" customWidth="1"/>
    <x:col min="4" max="4" width="8" hidden="0" customWidth="1"/>
    <x:col min="5" max="5" width="16" hidden="0" customWidth="1"/>
    <x:col min="6" max="6" width="16" hidden="0" customWidth="1"/>
    <x:col min="7" max="7" width="16" hidden="0" customWidth="1"/>
    <x:col min="8" max="8" width="17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24" hidden="0" customWidth="1"/>
    <x:col min="21" max="21" width="13" hidden="0" customWidth="1"/>
  </x:cols>
  <x:sheetData>
    <x:row r="1" ht="30" customHeight="1">
      <x:c r="A1" s="2" t="str">
        <x:v>QuickScout Seed Player Snapshot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37" t="str">
        <x:v>Generated 2026-08-29T12:58:04.468Z from src/data/seedPlayers.ts; scoring source: src/lib/scoring.ts.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</x:row>
    <x:row r="3">
      <x:c r="A3" s="38" t="str">
        <x:v>Scenario filter: Mohamed Salah | winger | like_for_like | RW/LW only | age ≤ 28 | market value ≤ EUR 100m | minutes ≥ 2,000.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</x:row>
    <x:row r="5" ht="34" customHeight="1">
      <x:c r="A5" s="11" t="str">
        <x:v>Player ID</x:v>
      </x:c>
      <x:c r="B5" s="11" t="str">
        <x:v>Provider</x:v>
      </x:c>
      <x:c r="C5" s="11" t="str">
        <x:v>Player</x:v>
      </x:c>
      <x:c r="D5" s="11" t="str">
        <x:v>Age</x:v>
      </x:c>
      <x:c r="E5" s="11" t="str">
        <x:v>Nationality</x:v>
      </x:c>
      <x:c r="F5" s="11" t="str">
        <x:v>Club</x:v>
      </x:c>
      <x:c r="G5" s="11" t="str">
        <x:v>Position</x:v>
      </x:c>
      <x:c r="H5" s="11" t="str">
        <x:v>Market Value EUR</x:v>
      </x:c>
      <x:c r="I5" s="11" t="str">
        <x:v>Minutes</x:v>
      </x:c>
      <x:c r="J5" s="11" t="str">
        <x:v>Appearances</x:v>
      </x:c>
      <x:c r="K5" s="11" t="str">
        <x:v>Goals</x:v>
      </x:c>
      <x:c r="L5" s="11" t="str">
        <x:v>Assists</x:v>
      </x:c>
      <x:c r="M5" s="11" t="str">
        <x:v>xG</x:v>
      </x:c>
      <x:c r="N5" s="11" t="str">
        <x:v>xA</x:v>
      </x:c>
      <x:c r="O5" s="11" t="str">
        <x:v>Key Passes</x:v>
      </x:c>
      <x:c r="P5" s="11" t="str">
        <x:v>Pass Accuracy %</x:v>
      </x:c>
      <x:c r="Q5" s="11" t="str">
        <x:v>Tackles</x:v>
      </x:c>
      <x:c r="R5" s="11" t="str">
        <x:v>Interceptions</x:v>
      </x:c>
      <x:c r="S5" s="11" t="str">
        <x:v>Shots</x:v>
      </x:c>
      <x:c r="T5" s="49" t="str">
        <x:v>Chart Order</x:v>
      </x:c>
      <x:c r="U5" s="50" t="str">
        <x:v>Total Score</x:v>
      </x:c>
    </x:row>
    <x:row r="6">
      <x:c r="A6" s="19" t="str">
        <x:v>seed-mohamed-salah</x:v>
      </x:c>
      <x:c r="B6" s="19" t="str">
        <x:v>seed</x:v>
      </x:c>
      <x:c r="C6" s="19" t="str">
        <x:v>Mohamed Salah</x:v>
      </x:c>
      <x:c r="D6" s="39" t="n">
        <x:v>33</x:v>
      </x:c>
      <x:c r="E6" s="19" t="str">
        <x:v>Egypt</x:v>
      </x:c>
      <x:c r="F6" s="19" t="str">
        <x:v>Liverpool</x:v>
      </x:c>
      <x:c r="G6" s="19" t="str">
        <x:v>RW</x:v>
      </x:c>
      <x:c r="H6" s="21" t="n">
        <x:v>55000000</x:v>
      </x:c>
      <x:c r="I6" s="22" t="n">
        <x:v>2920</x:v>
      </x:c>
      <x:c r="J6" s="22" t="n">
        <x:v>36</x:v>
      </x:c>
      <x:c r="K6" s="22" t="n">
        <x:v>22</x:v>
      </x:c>
      <x:c r="L6" s="22" t="n">
        <x:v>12</x:v>
      </x:c>
      <x:c r="M6" s="23" t="n">
        <x:v>20.1</x:v>
      </x:c>
      <x:c r="N6" s="23" t="n">
        <x:v>9.8</x:v>
      </x:c>
      <x:c r="O6" s="22" t="n">
        <x:v>71</x:v>
      </x:c>
      <x:c r="P6" s="23" t="n">
        <x:v>82</x:v>
      </x:c>
      <x:c r="Q6" s="22" t="n">
        <x:v>28</x:v>
      </x:c>
      <x:c r="R6" s="22" t="n">
        <x:v>16</x:v>
      </x:c>
      <x:c r="S6" s="22" t="n">
        <x:v>133</x:v>
      </x:c>
      <x:c r="T6" s="51" t="str">
        <x:f>'Ranked Candidates'!B9</x:f>
        <x:v>Rafael Leao</x:v>
      </x:c>
      <x:c r="U6" s="52" t="n">
        <x:f>'Ranked Candidates'!H9</x:f>
        <x:v>83.03840346395445</x:v>
      </x:c>
    </x:row>
    <x:row r="7">
      <x:c r="A7" s="25" t="str">
        <x:v>seed-bukayo-saka</x:v>
      </x:c>
      <x:c r="B7" s="25" t="str">
        <x:v>seed</x:v>
      </x:c>
      <x:c r="C7" s="25" t="str">
        <x:v>Bukayo Saka</x:v>
      </x:c>
      <x:c r="D7" s="40" t="n">
        <x:v>24</x:v>
      </x:c>
      <x:c r="E7" s="25" t="str">
        <x:v>England</x:v>
      </x:c>
      <x:c r="F7" s="25" t="str">
        <x:v>Arsenal</x:v>
      </x:c>
      <x:c r="G7" s="25" t="str">
        <x:v>RW</x:v>
      </x:c>
      <x:c r="H7" s="27" t="n">
        <x:v>130000000</x:v>
      </x:c>
      <x:c r="I7" s="28" t="n">
        <x:v>2790</x:v>
      </x:c>
      <x:c r="J7" s="28" t="n">
        <x:v>34</x:v>
      </x:c>
      <x:c r="K7" s="28" t="n">
        <x:v>17</x:v>
      </x:c>
      <x:c r="L7" s="28" t="n">
        <x:v>11</x:v>
      </x:c>
      <x:c r="M7" s="29" t="n">
        <x:v>14.9</x:v>
      </x:c>
      <x:c r="N7" s="29" t="n">
        <x:v>10.7</x:v>
      </x:c>
      <x:c r="O7" s="28" t="n">
        <x:v>67</x:v>
      </x:c>
      <x:c r="P7" s="29" t="n">
        <x:v>84</x:v>
      </x:c>
      <x:c r="Q7" s="28" t="n">
        <x:v>31</x:v>
      </x:c>
      <x:c r="R7" s="28" t="n">
        <x:v>19</x:v>
      </x:c>
      <x:c r="S7" s="28" t="n">
        <x:v>105</x:v>
      </x:c>
      <x:c r="T7" s="51" t="str">
        <x:f>'Ranked Candidates'!B8</x:f>
        <x:v>Rodrygo</x:v>
      </x:c>
      <x:c r="U7" s="52" t="n">
        <x:f>'Ranked Candidates'!H8</x:f>
        <x:v>83.47197089481533</x:v>
      </x:c>
    </x:row>
    <x:row r="8">
      <x:c r="A8" s="25" t="str">
        <x:v>seed-rodrygo</x:v>
      </x:c>
      <x:c r="B8" s="25" t="str">
        <x:v>seed</x:v>
      </x:c>
      <x:c r="C8" s="25" t="str">
        <x:v>Rodrygo</x:v>
      </x:c>
      <x:c r="D8" s="40" t="n">
        <x:v>25</x:v>
      </x:c>
      <x:c r="E8" s="25" t="str">
        <x:v>Brazil</x:v>
      </x:c>
      <x:c r="F8" s="25" t="str">
        <x:v>Real Madrid</x:v>
      </x:c>
      <x:c r="G8" s="25" t="str">
        <x:v>RW</x:v>
      </x:c>
      <x:c r="H8" s="27" t="n">
        <x:v>100000000</x:v>
      </x:c>
      <x:c r="I8" s="28" t="n">
        <x:v>2610</x:v>
      </x:c>
      <x:c r="J8" s="28" t="n">
        <x:v>35</x:v>
      </x:c>
      <x:c r="K8" s="28" t="n">
        <x:v>14</x:v>
      </x:c>
      <x:c r="L8" s="28" t="n">
        <x:v>9</x:v>
      </x:c>
      <x:c r="M8" s="29" t="n">
        <x:v>12.6</x:v>
      </x:c>
      <x:c r="N8" s="29" t="n">
        <x:v>7.1</x:v>
      </x:c>
      <x:c r="O8" s="28" t="n">
        <x:v>52</x:v>
      </x:c>
      <x:c r="P8" s="29" t="n">
        <x:v>87</x:v>
      </x:c>
      <x:c r="Q8" s="28" t="n">
        <x:v>23</x:v>
      </x:c>
      <x:c r="R8" s="28" t="n">
        <x:v>14</x:v>
      </x:c>
      <x:c r="S8" s="28" t="n">
        <x:v>96</x:v>
      </x:c>
      <x:c r="T8" s="51" t="str">
        <x:f>'Ranked Candidates'!B7</x:f>
        <x:v>Michael Olise</x:v>
      </x:c>
      <x:c r="U8" s="52" t="n">
        <x:f>'Ranked Candidates'!H7</x:f>
        <x:v>84.06259590318754</x:v>
      </x:c>
    </x:row>
    <x:row r="9">
      <x:c r="A9" s="25" t="str">
        <x:v>seed-khvicha-kvaratskhelia</x:v>
      </x:c>
      <x:c r="B9" s="25" t="str">
        <x:v>seed</x:v>
      </x:c>
      <x:c r="C9" s="25" t="str">
        <x:v>Khvicha Kvaratskhelia</x:v>
      </x:c>
      <x:c r="D9" s="40" t="n">
        <x:v>25</x:v>
      </x:c>
      <x:c r="E9" s="25" t="str">
        <x:v>Georgia</x:v>
      </x:c>
      <x:c r="F9" s="25" t="str">
        <x:v>Napoli</x:v>
      </x:c>
      <x:c r="G9" s="25" t="str">
        <x:v>LW</x:v>
      </x:c>
      <x:c r="H9" s="27" t="n">
        <x:v>90000000</x:v>
      </x:c>
      <x:c r="I9" s="28" t="n">
        <x:v>2745</x:v>
      </x:c>
      <x:c r="J9" s="28" t="n">
        <x:v>33</x:v>
      </x:c>
      <x:c r="K9" s="28" t="n">
        <x:v>13</x:v>
      </x:c>
      <x:c r="L9" s="28" t="n">
        <x:v>10</x:v>
      </x:c>
      <x:c r="M9" s="29" t="n">
        <x:v>13.8</x:v>
      </x:c>
      <x:c r="N9" s="29" t="n">
        <x:v>9.5</x:v>
      </x:c>
      <x:c r="O9" s="28" t="n">
        <x:v>69</x:v>
      </x:c>
      <x:c r="P9" s="29" t="n">
        <x:v>83</x:v>
      </x:c>
      <x:c r="Q9" s="28" t="n">
        <x:v>27</x:v>
      </x:c>
      <x:c r="R9" s="28" t="n">
        <x:v>15</x:v>
      </x:c>
      <x:c r="S9" s="28" t="n">
        <x:v>118</x:v>
      </x:c>
      <x:c r="T9" s="51" t="str">
        <x:f>'Ranked Candidates'!B6</x:f>
        <x:v>Khvicha Kvaratskhelia</x:v>
      </x:c>
      <x:c r="U9" s="52" t="n">
        <x:f>'Ranked Candidates'!H6</x:f>
        <x:v>86.28945246498603</x:v>
      </x:c>
    </x:row>
    <x:row r="10">
      <x:c r="A10" s="25" t="str">
        <x:v>seed-rafael-leao</x:v>
      </x:c>
      <x:c r="B10" s="25" t="str">
        <x:v>seed</x:v>
      </x:c>
      <x:c r="C10" s="25" t="str">
        <x:v>Rafael Leao</x:v>
      </x:c>
      <x:c r="D10" s="40" t="n">
        <x:v>27</x:v>
      </x:c>
      <x:c r="E10" s="25" t="str">
        <x:v>Portugal</x:v>
      </x:c>
      <x:c r="F10" s="25" t="str">
        <x:v>AC Milan</x:v>
      </x:c>
      <x:c r="G10" s="25" t="str">
        <x:v>LW</x:v>
      </x:c>
      <x:c r="H10" s="27" t="n">
        <x:v>85000000</x:v>
      </x:c>
      <x:c r="I10" s="28" t="n">
        <x:v>2520</x:v>
      </x:c>
      <x:c r="J10" s="28" t="n">
        <x:v>31</x:v>
      </x:c>
      <x:c r="K10" s="28" t="n">
        <x:v>11</x:v>
      </x:c>
      <x:c r="L10" s="28" t="n">
        <x:v>9</x:v>
      </x:c>
      <x:c r="M10" s="29" t="n">
        <x:v>11.4</x:v>
      </x:c>
      <x:c r="N10" s="29" t="n">
        <x:v>7.9</x:v>
      </x:c>
      <x:c r="O10" s="28" t="n">
        <x:v>54</x:v>
      </x:c>
      <x:c r="P10" s="29" t="n">
        <x:v>81</x:v>
      </x:c>
      <x:c r="Q10" s="28" t="n">
        <x:v>20</x:v>
      </x:c>
      <x:c r="R10" s="28" t="n">
        <x:v>12</x:v>
      </x:c>
      <x:c r="S10" s="28" t="n">
        <x:v>101</x:v>
      </x:c>
      <x:c r="T10" s="53" t="str">
        <x:f>'Ranked Candidates'!B5</x:f>
        <x:v>Nico Williams</x:v>
      </x:c>
      <x:c r="U10" s="54" t="n">
        <x:f>'Ranked Candidates'!H5</x:f>
        <x:v>86.29797482827693</x:v>
      </x:c>
    </x:row>
    <x:row r="11">
      <x:c r="A11" s="25" t="str">
        <x:v>seed-leroy-sane</x:v>
      </x:c>
      <x:c r="B11" s="25" t="str">
        <x:v>seed</x:v>
      </x:c>
      <x:c r="C11" s="25" t="str">
        <x:v>Leroy Sane</x:v>
      </x:c>
      <x:c r="D11" s="40" t="n">
        <x:v>30</x:v>
      </x:c>
      <x:c r="E11" s="25" t="str">
        <x:v>Germany</x:v>
      </x:c>
      <x:c r="F11" s="25" t="str">
        <x:v>Bayern Munich</x:v>
      </x:c>
      <x:c r="G11" s="25" t="str">
        <x:v>RW</x:v>
      </x:c>
      <x:c r="H11" s="27" t="n">
        <x:v>70000000</x:v>
      </x:c>
      <x:c r="I11" s="28" t="n">
        <x:v>2380</x:v>
      </x:c>
      <x:c r="J11" s="28" t="n">
        <x:v>30</x:v>
      </x:c>
      <x:c r="K11" s="28" t="n">
        <x:v>10</x:v>
      </x:c>
      <x:c r="L11" s="28" t="n">
        <x:v>13</x:v>
      </x:c>
      <x:c r="M11" s="29" t="n">
        <x:v>9.4</x:v>
      </x:c>
      <x:c r="N11" s="29" t="n">
        <x:v>10.2</x:v>
      </x:c>
      <x:c r="O11" s="28" t="n">
        <x:v>64</x:v>
      </x:c>
      <x:c r="P11" s="29" t="n">
        <x:v>85</x:v>
      </x:c>
      <x:c r="Q11" s="28" t="n">
        <x:v>24</x:v>
      </x:c>
      <x:c r="R11" s="28" t="n">
        <x:v>13</x:v>
      </x:c>
      <x:c r="S11" s="28" t="n">
        <x:v>86</x:v>
      </x:c>
    </x:row>
    <x:row r="12">
      <x:c r="A12" s="25" t="str">
        <x:v>seed-nico-williams</x:v>
      </x:c>
      <x:c r="B12" s="25" t="str">
        <x:v>seed</x:v>
      </x:c>
      <x:c r="C12" s="25" t="str">
        <x:v>Nico Williams</x:v>
      </x:c>
      <x:c r="D12" s="40" t="n">
        <x:v>23</x:v>
      </x:c>
      <x:c r="E12" s="25" t="str">
        <x:v>Spain</x:v>
      </x:c>
      <x:c r="F12" s="25" t="str">
        <x:v>Athletic Club</x:v>
      </x:c>
      <x:c r="G12" s="25" t="str">
        <x:v>LW</x:v>
      </x:c>
      <x:c r="H12" s="27" t="n">
        <x:v>70000000</x:v>
      </x:c>
      <x:c r="I12" s="28" t="n">
        <x:v>2460</x:v>
      </x:c>
      <x:c r="J12" s="28" t="n">
        <x:v>32</x:v>
      </x:c>
      <x:c r="K12" s="28" t="n">
        <x:v>8</x:v>
      </x:c>
      <x:c r="L12" s="28" t="n">
        <x:v>14</x:v>
      </x:c>
      <x:c r="M12" s="29" t="n">
        <x:v>7.2</x:v>
      </x:c>
      <x:c r="N12" s="29" t="n">
        <x:v>11</x:v>
      </x:c>
      <x:c r="O12" s="28" t="n">
        <x:v>73</x:v>
      </x:c>
      <x:c r="P12" s="29" t="n">
        <x:v>82</x:v>
      </x:c>
      <x:c r="Q12" s="28" t="n">
        <x:v>30</x:v>
      </x:c>
      <x:c r="R12" s="28" t="n">
        <x:v>17</x:v>
      </x:c>
      <x:c r="S12" s="28" t="n">
        <x:v>79</x:v>
      </x:c>
    </x:row>
    <x:row r="13">
      <x:c r="A13" s="25" t="str">
        <x:v>seed-michael-olise</x:v>
      </x:c>
      <x:c r="B13" s="25" t="str">
        <x:v>seed</x:v>
      </x:c>
      <x:c r="C13" s="25" t="str">
        <x:v>Michael Olise</x:v>
      </x:c>
      <x:c r="D13" s="40" t="n">
        <x:v>25</x:v>
      </x:c>
      <x:c r="E13" s="25" t="str">
        <x:v>France</x:v>
      </x:c>
      <x:c r="F13" s="25" t="str">
        <x:v>Bayern Munich</x:v>
      </x:c>
      <x:c r="G13" s="25" t="str">
        <x:v>RW</x:v>
      </x:c>
      <x:c r="H13" s="27" t="n">
        <x:v>75000000</x:v>
      </x:c>
      <x:c r="I13" s="28" t="n">
        <x:v>2270</x:v>
      </x:c>
      <x:c r="J13" s="28" t="n">
        <x:v>29</x:v>
      </x:c>
      <x:c r="K13" s="28" t="n">
        <x:v>9</x:v>
      </x:c>
      <x:c r="L13" s="28" t="n">
        <x:v>12</x:v>
      </x:c>
      <x:c r="M13" s="29" t="n">
        <x:v>8.1</x:v>
      </x:c>
      <x:c r="N13" s="29" t="n">
        <x:v>10.8</x:v>
      </x:c>
      <x:c r="O13" s="28" t="n">
        <x:v>70</x:v>
      </x:c>
      <x:c r="P13" s="29" t="n">
        <x:v>84</x:v>
      </x:c>
      <x:c r="Q13" s="28" t="n">
        <x:v>22</x:v>
      </x:c>
      <x:c r="R13" s="28" t="n">
        <x:v>11</x:v>
      </x:c>
      <x:c r="S13" s="28" t="n">
        <x:v>74</x:v>
      </x:c>
    </x:row>
    <x:row r="14">
      <x:c r="A14" s="25" t="str">
        <x:v>seed-jamal-musiala</x:v>
      </x:c>
      <x:c r="B14" s="25" t="str">
        <x:v>seed</x:v>
      </x:c>
      <x:c r="C14" s="25" t="str">
        <x:v>Jamal Musiala</x:v>
      </x:c>
      <x:c r="D14" s="40" t="n">
        <x:v>23</x:v>
      </x:c>
      <x:c r="E14" s="25" t="str">
        <x:v>Germany</x:v>
      </x:c>
      <x:c r="F14" s="25" t="str">
        <x:v>Bayern Munich</x:v>
      </x:c>
      <x:c r="G14" s="25" t="str">
        <x:v>AM</x:v>
      </x:c>
      <x:c r="H14" s="27" t="n">
        <x:v>130000000</x:v>
      </x:c>
      <x:c r="I14" s="28" t="n">
        <x:v>2485</x:v>
      </x:c>
      <x:c r="J14" s="28" t="n">
        <x:v>31</x:v>
      </x:c>
      <x:c r="K14" s="28" t="n">
        <x:v>12</x:v>
      </x:c>
      <x:c r="L14" s="28" t="n">
        <x:v>8</x:v>
      </x:c>
      <x:c r="M14" s="29" t="n">
        <x:v>10.8</x:v>
      </x:c>
      <x:c r="N14" s="29" t="n">
        <x:v>6.3</x:v>
      </x:c>
      <x:c r="O14" s="28" t="n">
        <x:v>48</x:v>
      </x:c>
      <x:c r="P14" s="29" t="n">
        <x:v>88</x:v>
      </x:c>
      <x:c r="Q14" s="28" t="n">
        <x:v>26</x:v>
      </x:c>
      <x:c r="R14" s="28" t="n">
        <x:v>15</x:v>
      </x:c>
      <x:c r="S14" s="28" t="n">
        <x:v>93</x:v>
      </x:c>
    </x:row>
    <x:row r="15">
      <x:c r="A15" s="25" t="str">
        <x:v>seed-florian-wirtz</x:v>
      </x:c>
      <x:c r="B15" s="25" t="str">
        <x:v>seed</x:v>
      </x:c>
      <x:c r="C15" s="25" t="str">
        <x:v>Florian Wirtz</x:v>
      </x:c>
      <x:c r="D15" s="40" t="n">
        <x:v>23</x:v>
      </x:c>
      <x:c r="E15" s="25" t="str">
        <x:v>Germany</x:v>
      </x:c>
      <x:c r="F15" s="25" t="str">
        <x:v>Bayer Leverkusen</x:v>
      </x:c>
      <x:c r="G15" s="25" t="str">
        <x:v>AM</x:v>
      </x:c>
      <x:c r="H15" s="27" t="n">
        <x:v>140000000</x:v>
      </x:c>
      <x:c r="I15" s="28" t="n">
        <x:v>2670</x:v>
      </x:c>
      <x:c r="J15" s="28" t="n">
        <x:v>33</x:v>
      </x:c>
      <x:c r="K15" s="28" t="n">
        <x:v>11</x:v>
      </x:c>
      <x:c r="L15" s="28" t="n">
        <x:v>15</x:v>
      </x:c>
      <x:c r="M15" s="29" t="n">
        <x:v>9.7</x:v>
      </x:c>
      <x:c r="N15" s="29" t="n">
        <x:v>12.5</x:v>
      </x:c>
      <x:c r="O15" s="28" t="n">
        <x:v>86</x:v>
      </x:c>
      <x:c r="P15" s="29" t="n">
        <x:v>89</x:v>
      </x:c>
      <x:c r="Q15" s="28" t="n">
        <x:v>29</x:v>
      </x:c>
      <x:c r="R15" s="28" t="n">
        <x:v>18</x:v>
      </x:c>
      <x:c r="S15" s="28" t="n">
        <x:v>89</x:v>
      </x:c>
    </x:row>
    <x:row r="16">
      <x:c r="A16" s="25" t="str">
        <x:v>seed-declan-rice</x:v>
      </x:c>
      <x:c r="B16" s="25" t="str">
        <x:v>seed</x:v>
      </x:c>
      <x:c r="C16" s="25" t="str">
        <x:v>Declan Rice</x:v>
      </x:c>
      <x:c r="D16" s="40" t="n">
        <x:v>27</x:v>
      </x:c>
      <x:c r="E16" s="25" t="str">
        <x:v>England</x:v>
      </x:c>
      <x:c r="F16" s="25" t="str">
        <x:v>Arsenal</x:v>
      </x:c>
      <x:c r="G16" s="25" t="str">
        <x:v>DM</x:v>
      </x:c>
      <x:c r="H16" s="27" t="n">
        <x:v>110000000</x:v>
      </x:c>
      <x:c r="I16" s="28" t="n">
        <x:v>3010</x:v>
      </x:c>
      <x:c r="J16" s="28" t="n">
        <x:v>35</x:v>
      </x:c>
      <x:c r="K16" s="28" t="n">
        <x:v>6</x:v>
      </x:c>
      <x:c r="L16" s="28" t="n">
        <x:v>7</x:v>
      </x:c>
      <x:c r="M16" s="29" t="n">
        <x:v>5.2</x:v>
      </x:c>
      <x:c r="N16" s="29" t="n">
        <x:v>5.9</x:v>
      </x:c>
      <x:c r="O16" s="28" t="n">
        <x:v>43</x:v>
      </x:c>
      <x:c r="P16" s="29" t="n">
        <x:v>91</x:v>
      </x:c>
      <x:c r="Q16" s="28" t="n">
        <x:v>78</x:v>
      </x:c>
      <x:c r="R16" s="28" t="n">
        <x:v>55</x:v>
      </x:c>
      <x:c r="S16" s="28" t="n">
        <x:v>47</x:v>
      </x:c>
    </x:row>
    <x:row r="17">
      <x:c r="A17" s="25" t="str">
        <x:v>seed-martin-zubimendi</x:v>
      </x:c>
      <x:c r="B17" s="25" t="str">
        <x:v>seed</x:v>
      </x:c>
      <x:c r="C17" s="25" t="str">
        <x:v>Martin Zubimendi</x:v>
      </x:c>
      <x:c r="D17" s="40" t="n">
        <x:v>27</x:v>
      </x:c>
      <x:c r="E17" s="25" t="str">
        <x:v>Spain</x:v>
      </x:c>
      <x:c r="F17" s="25" t="str">
        <x:v>Real Sociedad</x:v>
      </x:c>
      <x:c r="G17" s="25" t="str">
        <x:v>DM</x:v>
      </x:c>
      <x:c r="H17" s="27" t="n">
        <x:v>60000000</x:v>
      </x:c>
      <x:c r="I17" s="28" t="n">
        <x:v>2875</x:v>
      </x:c>
      <x:c r="J17" s="28" t="n">
        <x:v>34</x:v>
      </x:c>
      <x:c r="K17" s="28" t="n">
        <x:v>3</x:v>
      </x:c>
      <x:c r="L17" s="28" t="n">
        <x:v>4</x:v>
      </x:c>
      <x:c r="M17" s="29" t="n">
        <x:v>2.1</x:v>
      </x:c>
      <x:c r="N17" s="29" t="n">
        <x:v>3</x:v>
      </x:c>
      <x:c r="O17" s="28" t="n">
        <x:v>31</x:v>
      </x:c>
      <x:c r="P17" s="29" t="n">
        <x:v>90</x:v>
      </x:c>
      <x:c r="Q17" s="28" t="n">
        <x:v>88</x:v>
      </x:c>
      <x:c r="R17" s="28" t="n">
        <x:v>62</x:v>
      </x:c>
      <x:c r="S17" s="28" t="n">
        <x:v>26</x:v>
      </x:c>
    </x:row>
    <x:row r="18">
      <x:c r="A18" s="25" t="str">
        <x:v>seed-federico-valverde</x:v>
      </x:c>
      <x:c r="B18" s="25" t="str">
        <x:v>seed</x:v>
      </x:c>
      <x:c r="C18" s="25" t="str">
        <x:v>Federico Valverde</x:v>
      </x:c>
      <x:c r="D18" s="40" t="n">
        <x:v>28</x:v>
      </x:c>
      <x:c r="E18" s="25" t="str">
        <x:v>Uruguay</x:v>
      </x:c>
      <x:c r="F18" s="25" t="str">
        <x:v>Real Madrid</x:v>
      </x:c>
      <x:c r="G18" s="25" t="str">
        <x:v>CM</x:v>
      </x:c>
      <x:c r="H18" s="27" t="n">
        <x:v>120000000</x:v>
      </x:c>
      <x:c r="I18" s="28" t="n">
        <x:v>2980</x:v>
      </x:c>
      <x:c r="J18" s="28" t="n">
        <x:v>36</x:v>
      </x:c>
      <x:c r="K18" s="28" t="n">
        <x:v>8</x:v>
      </x:c>
      <x:c r="L18" s="28" t="n">
        <x:v>6</x:v>
      </x:c>
      <x:c r="M18" s="29" t="n">
        <x:v>7</x:v>
      </x:c>
      <x:c r="N18" s="29" t="n">
        <x:v>4.8</x:v>
      </x:c>
      <x:c r="O18" s="28" t="n">
        <x:v>40</x:v>
      </x:c>
      <x:c r="P18" s="29" t="n">
        <x:v>89</x:v>
      </x:c>
      <x:c r="Q18" s="28" t="n">
        <x:v>73</x:v>
      </x:c>
      <x:c r="R18" s="28" t="n">
        <x:v>44</x:v>
      </x:c>
      <x:c r="S18" s="28" t="n">
        <x:v>64</x:v>
      </x:c>
    </x:row>
    <x:row r="19">
      <x:c r="A19" s="25" t="str">
        <x:v>seed-alexis-mac-allister</x:v>
      </x:c>
      <x:c r="B19" s="25" t="str">
        <x:v>seed</x:v>
      </x:c>
      <x:c r="C19" s="25" t="str">
        <x:v>Alexis Mac Allister</x:v>
      </x:c>
      <x:c r="D19" s="40" t="n">
        <x:v>27</x:v>
      </x:c>
      <x:c r="E19" s="25" t="str">
        <x:v>Argentina</x:v>
      </x:c>
      <x:c r="F19" s="25" t="str">
        <x:v>Liverpool</x:v>
      </x:c>
      <x:c r="G19" s="25" t="str">
        <x:v>CM</x:v>
      </x:c>
      <x:c r="H19" s="27" t="n">
        <x:v>80000000</x:v>
      </x:c>
      <x:c r="I19" s="28" t="n">
        <x:v>2760</x:v>
      </x:c>
      <x:c r="J19" s="28" t="n">
        <x:v>33</x:v>
      </x:c>
      <x:c r="K19" s="28" t="n">
        <x:v>6</x:v>
      </x:c>
      <x:c r="L19" s="28" t="n">
        <x:v>7</x:v>
      </x:c>
      <x:c r="M19" s="29" t="n">
        <x:v>5.5</x:v>
      </x:c>
      <x:c r="N19" s="29" t="n">
        <x:v>6.4</x:v>
      </x:c>
      <x:c r="O19" s="28" t="n">
        <x:v>58</x:v>
      </x:c>
      <x:c r="P19" s="29" t="n">
        <x:v>90</x:v>
      </x:c>
      <x:c r="Q19" s="28" t="n">
        <x:v>69</x:v>
      </x:c>
      <x:c r="R19" s="28" t="n">
        <x:v>39</x:v>
      </x:c>
      <x:c r="S19" s="28" t="n">
        <x:v>51</x:v>
      </x:c>
    </x:row>
    <x:row r="20">
      <x:c r="A20" s="25" t="str">
        <x:v>seed-ruben-dias</x:v>
      </x:c>
      <x:c r="B20" s="25" t="str">
        <x:v>seed</x:v>
      </x:c>
      <x:c r="C20" s="25" t="str">
        <x:v>Ruben Dias</x:v>
      </x:c>
      <x:c r="D20" s="40" t="n">
        <x:v>29</x:v>
      </x:c>
      <x:c r="E20" s="25" t="str">
        <x:v>Portugal</x:v>
      </x:c>
      <x:c r="F20" s="25" t="str">
        <x:v>Manchester City</x:v>
      </x:c>
      <x:c r="G20" s="25" t="str">
        <x:v>CB</x:v>
      </x:c>
      <x:c r="H20" s="27" t="n">
        <x:v>75000000</x:v>
      </x:c>
      <x:c r="I20" s="28" t="n">
        <x:v>2830</x:v>
      </x:c>
      <x:c r="J20" s="28" t="n">
        <x:v>33</x:v>
      </x:c>
      <x:c r="K20" s="28" t="n">
        <x:v>2</x:v>
      </x:c>
      <x:c r="L20" s="28" t="n">
        <x:v>1</x:v>
      </x:c>
      <x:c r="M20" s="29" t="n">
        <x:v>1.8</x:v>
      </x:c>
      <x:c r="N20" s="29" t="n">
        <x:v>0.9</x:v>
      </x:c>
      <x:c r="O20" s="28" t="n">
        <x:v>10</x:v>
      </x:c>
      <x:c r="P20" s="29" t="n">
        <x:v>93</x:v>
      </x:c>
      <x:c r="Q20" s="28" t="n">
        <x:v>42</x:v>
      </x:c>
      <x:c r="R20" s="28" t="n">
        <x:v>61</x:v>
      </x:c>
      <x:c r="S20" s="28" t="n">
        <x:v>19</x:v>
      </x:c>
    </x:row>
    <x:row r="21">
      <x:c r="A21" s="25" t="str">
        <x:v>seed-william-saliba</x:v>
      </x:c>
      <x:c r="B21" s="25" t="str">
        <x:v>seed</x:v>
      </x:c>
      <x:c r="C21" s="25" t="str">
        <x:v>William Saliba</x:v>
      </x:c>
      <x:c r="D21" s="40" t="n">
        <x:v>25</x:v>
      </x:c>
      <x:c r="E21" s="25" t="str">
        <x:v>France</x:v>
      </x:c>
      <x:c r="F21" s="25" t="str">
        <x:v>Arsenal</x:v>
      </x:c>
      <x:c r="G21" s="25" t="str">
        <x:v>CB</x:v>
      </x:c>
      <x:c r="H21" s="27" t="n">
        <x:v>85000000</x:v>
      </x:c>
      <x:c r="I21" s="28" t="n">
        <x:v>3060</x:v>
      </x:c>
      <x:c r="J21" s="28" t="n">
        <x:v>34</x:v>
      </x:c>
      <x:c r="K21" s="28" t="n">
        <x:v>2</x:v>
      </x:c>
      <x:c r="L21" s="28" t="n">
        <x:v>1</x:v>
      </x:c>
      <x:c r="M21" s="29" t="n">
        <x:v>1.7</x:v>
      </x:c>
      <x:c r="N21" s="29" t="n">
        <x:v>1.1</x:v>
      </x:c>
      <x:c r="O21" s="28" t="n">
        <x:v>9</x:v>
      </x:c>
      <x:c r="P21" s="29" t="n">
        <x:v>94</x:v>
      </x:c>
      <x:c r="Q21" s="28" t="n">
        <x:v>46</x:v>
      </x:c>
      <x:c r="R21" s="28" t="n">
        <x:v>66</x:v>
      </x:c>
      <x:c r="S21" s="28" t="n">
        <x:v>17</x:v>
      </x:c>
    </x:row>
    <x:row r="22">
      <x:c r="A22" s="25" t="str">
        <x:v>seed-jeremie-frimpong</x:v>
      </x:c>
      <x:c r="B22" s="25" t="str">
        <x:v>seed</x:v>
      </x:c>
      <x:c r="C22" s="25" t="str">
        <x:v>Jeremie Frimpong</x:v>
      </x:c>
      <x:c r="D22" s="40" t="n">
        <x:v>25</x:v>
      </x:c>
      <x:c r="E22" s="25" t="str">
        <x:v>Netherlands</x:v>
      </x:c>
      <x:c r="F22" s="25" t="str">
        <x:v>Bayer Leverkusen</x:v>
      </x:c>
      <x:c r="G22" s="25" t="str">
        <x:v>RB</x:v>
      </x:c>
      <x:c r="H22" s="27" t="n">
        <x:v>65000000</x:v>
      </x:c>
      <x:c r="I22" s="28" t="n">
        <x:v>2410</x:v>
      </x:c>
      <x:c r="J22" s="28" t="n">
        <x:v>31</x:v>
      </x:c>
      <x:c r="K22" s="28" t="n">
        <x:v>7</x:v>
      </x:c>
      <x:c r="L22" s="28" t="n">
        <x:v>8</x:v>
      </x:c>
      <x:c r="M22" s="29" t="n">
        <x:v>6.4</x:v>
      </x:c>
      <x:c r="N22" s="29" t="n">
        <x:v>5.6</x:v>
      </x:c>
      <x:c r="O22" s="28" t="n">
        <x:v>41</x:v>
      </x:c>
      <x:c r="P22" s="29" t="n">
        <x:v>86</x:v>
      </x:c>
      <x:c r="Q22" s="28" t="n">
        <x:v>57</x:v>
      </x:c>
      <x:c r="R22" s="28" t="n">
        <x:v>32</x:v>
      </x:c>
      <x:c r="S22" s="28" t="n">
        <x:v>58</x:v>
      </x:c>
    </x:row>
    <x:row r="23">
      <x:c r="A23" s="25" t="str">
        <x:v>seed-alphonso-davies</x:v>
      </x:c>
      <x:c r="B23" s="25" t="str">
        <x:v>seed</x:v>
      </x:c>
      <x:c r="C23" s="25" t="str">
        <x:v>Alphonso Davies</x:v>
      </x:c>
      <x:c r="D23" s="40" t="n">
        <x:v>26</x:v>
      </x:c>
      <x:c r="E23" s="25" t="str">
        <x:v>Canada</x:v>
      </x:c>
      <x:c r="F23" s="25" t="str">
        <x:v>Bayern Munich</x:v>
      </x:c>
      <x:c r="G23" s="25" t="str">
        <x:v>LB</x:v>
      </x:c>
      <x:c r="H23" s="27" t="n">
        <x:v>70000000</x:v>
      </x:c>
      <x:c r="I23" s="28" t="n">
        <x:v>2320</x:v>
      </x:c>
      <x:c r="J23" s="28" t="n">
        <x:v>29</x:v>
      </x:c>
      <x:c r="K23" s="28" t="n">
        <x:v>3</x:v>
      </x:c>
      <x:c r="L23" s="28" t="n">
        <x:v>6</x:v>
      </x:c>
      <x:c r="M23" s="29" t="n">
        <x:v>2.9</x:v>
      </x:c>
      <x:c r="N23" s="29" t="n">
        <x:v>4.4</x:v>
      </x:c>
      <x:c r="O23" s="28" t="n">
        <x:v>33</x:v>
      </x:c>
      <x:c r="P23" s="29" t="n">
        <x:v>88</x:v>
      </x:c>
      <x:c r="Q23" s="28" t="n">
        <x:v>62</x:v>
      </x:c>
      <x:c r="R23" s="28" t="n">
        <x:v>35</x:v>
      </x:c>
      <x:c r="S23" s="28" t="n">
        <x:v>37</x:v>
      </x:c>
    </x:row>
    <x:row r="24">
      <x:c r="A24" s="25" t="str">
        <x:v>seed-diogo-costa</x:v>
      </x:c>
      <x:c r="B24" s="25" t="str">
        <x:v>seed</x:v>
      </x:c>
      <x:c r="C24" s="25" t="str">
        <x:v>Diogo Costa</x:v>
      </x:c>
      <x:c r="D24" s="40" t="n">
        <x:v>27</x:v>
      </x:c>
      <x:c r="E24" s="25" t="str">
        <x:v>Portugal</x:v>
      </x:c>
      <x:c r="F24" s="25" t="str">
        <x:v>FC Porto</x:v>
      </x:c>
      <x:c r="G24" s="25" t="str">
        <x:v>GK</x:v>
      </x:c>
      <x:c r="H24" s="27" t="n">
        <x:v>45000000</x:v>
      </x:c>
      <x:c r="I24" s="28" t="n">
        <x:v>3060</x:v>
      </x:c>
      <x:c r="J24" s="28" t="n">
        <x:v>34</x:v>
      </x:c>
      <x:c r="K24" s="28" t="n">
        <x:v>0</x:v>
      </x:c>
      <x:c r="L24" s="28" t="n">
        <x:v>0</x:v>
      </x:c>
      <x:c r="M24" s="29" t="n">
        <x:v>0</x:v>
      </x:c>
      <x:c r="N24" s="29" t="n">
        <x:v>0</x:v>
      </x:c>
      <x:c r="O24" s="28" t="n">
        <x:v>0</x:v>
      </x:c>
      <x:c r="P24" s="29" t="n">
        <x:v>79</x:v>
      </x:c>
      <x:c r="Q24" s="28" t="n">
        <x:v>1</x:v>
      </x:c>
      <x:c r="R24" s="28" t="n">
        <x:v>7</x:v>
      </x:c>
      <x:c r="S24" s="28" t="n">
        <x:v>0</x:v>
      </x:c>
    </x:row>
    <x:row r="25">
      <x:c r="A25" s="41" t="str">
        <x:v>seed-giorgi-mamardashvili</x:v>
      </x:c>
      <x:c r="B25" s="41" t="str">
        <x:v>seed</x:v>
      </x:c>
      <x:c r="C25" s="41" t="str">
        <x:v>Giorgi Mamardashvili</x:v>
      </x:c>
      <x:c r="D25" s="42" t="n">
        <x:v>26</x:v>
      </x:c>
      <x:c r="E25" s="41" t="str">
        <x:v>Georgia</x:v>
      </x:c>
      <x:c r="F25" s="41" t="str">
        <x:v>Valencia</x:v>
      </x:c>
      <x:c r="G25" s="41" t="str">
        <x:v>GK</x:v>
      </x:c>
      <x:c r="H25" s="43" t="n">
        <x:v>40000000</x:v>
      </x:c>
      <x:c r="I25" s="44" t="n">
        <x:v>2970</x:v>
      </x:c>
      <x:c r="J25" s="44" t="n">
        <x:v>33</x:v>
      </x:c>
      <x:c r="K25" s="44" t="n">
        <x:v>0</x:v>
      </x:c>
      <x:c r="L25" s="44" t="n">
        <x:v>0</x:v>
      </x:c>
      <x:c r="M25" s="45" t="n">
        <x:v>0</x:v>
      </x:c>
      <x:c r="N25" s="45" t="n">
        <x:v>0</x:v>
      </x:c>
      <x:c r="O25" s="44" t="n">
        <x:v>0</x:v>
      </x:c>
      <x:c r="P25" s="45" t="n">
        <x:v>75</x:v>
      </x:c>
      <x:c r="Q25" s="44" t="n">
        <x:v>1</x:v>
      </x:c>
      <x:c r="R25" s="44" t="n">
        <x:v>6</x:v>
      </x:c>
      <x:c r="S25" s="44" t="n">
        <x:v>0</x:v>
      </x:c>
    </x:row>
  </x:sheetData>
  <x:mergeCells>
    <x:mergeCell ref="A1:U1"/>
    <x:mergeCell ref="A2:U2"/>
    <x:mergeCell ref="A3:U3"/>
  </x:mergeCells>
  <x:pageMargins left="0.7" right="0.7" top="0.75" bottom="0.75" header="0.3" footer="0.3"/>
  <x:tableParts count="1">
    <x:tablePart xmlns:r="http://schemas.openxmlformats.org/officeDocument/2006/relationships" r:id="R227642daa0984231"/>
  </x:tableParts>
</x:worksheet>
</file>